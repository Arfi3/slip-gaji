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76E7100-790D-46F7-A987-2BFFBB36CCFD}" xr6:coauthVersionLast="47" xr6:coauthVersionMax="47" xr10:uidLastSave="{00000000-0000-0000-0000-000000000000}"/>
  <bookViews>
    <workbookView xWindow="-108" yWindow="-108" windowWidth="23256" windowHeight="13896" activeTab="1" xr2:uid="{C43F5AD3-93E8-46EE-893D-F5B6C50BC3D3}"/>
  </bookViews>
  <sheets>
    <sheet name="Slip Gaji" sheetId="4" r:id="rId1"/>
    <sheet name="Data Gaji Pegawai" sheetId="1" r:id="rId2"/>
    <sheet name="Tabel Acuan" sheetId="2" r:id="rId3"/>
    <sheet name="Ketentuan" sheetId="3" r:id="rId4"/>
  </sheets>
  <externalReferences>
    <externalReference r:id="rId5"/>
  </externalReferences>
  <definedNames>
    <definedName name="_xlnm._FilterDatabase" localSheetId="1" hidden="1">'Data Gaji Pegawai'!$C$1:$C$702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E41" i="4"/>
  <c r="C9" i="4"/>
  <c r="C13" i="4"/>
  <c r="C10" i="4" l="1"/>
  <c r="B41" i="4" s="1"/>
  <c r="C18" i="4"/>
  <c r="E19" i="4"/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3" i="1"/>
  <c r="C22" i="4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C19" i="4" l="1"/>
  <c r="D4" i="1"/>
  <c r="D5" i="1"/>
  <c r="D6" i="1"/>
  <c r="D7" i="1"/>
  <c r="D8" i="1"/>
  <c r="D9" i="1"/>
  <c r="D10" i="1"/>
  <c r="D11" i="1"/>
  <c r="D12" i="1"/>
  <c r="D13" i="1"/>
  <c r="D14" i="1"/>
  <c r="D15" i="1"/>
  <c r="G15" i="1" s="1" a="1"/>
  <c r="G15" i="1" s="1"/>
  <c r="D16" i="1"/>
  <c r="G16" i="1" s="1" a="1"/>
  <c r="G16" i="1" s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G31" i="1" s="1" a="1"/>
  <c r="G31" i="1" s="1"/>
  <c r="D32" i="1"/>
  <c r="G32" i="1" s="1" a="1"/>
  <c r="G32" i="1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G47" i="1" s="1" a="1"/>
  <c r="G47" i="1" s="1"/>
  <c r="D48" i="1"/>
  <c r="G48" i="1" s="1" a="1"/>
  <c r="G48" i="1" s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G63" i="1" s="1" a="1"/>
  <c r="G63" i="1" s="1"/>
  <c r="D64" i="1"/>
  <c r="G64" i="1" s="1" a="1"/>
  <c r="G64" i="1" s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G79" i="1" s="1" a="1"/>
  <c r="G79" i="1" s="1"/>
  <c r="D80" i="1"/>
  <c r="G80" i="1" s="1" a="1"/>
  <c r="G80" i="1" s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G95" i="1" s="1" a="1"/>
  <c r="G95" i="1" s="1"/>
  <c r="D96" i="1"/>
  <c r="G96" i="1" s="1" a="1"/>
  <c r="G96" i="1" s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G111" i="1" s="1" a="1"/>
  <c r="G111" i="1" s="1"/>
  <c r="D112" i="1"/>
  <c r="G112" i="1" s="1" a="1"/>
  <c r="G112" i="1" s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G127" i="1" s="1" a="1"/>
  <c r="G127" i="1" s="1"/>
  <c r="D128" i="1"/>
  <c r="G128" i="1" s="1" a="1"/>
  <c r="G128" i="1" s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G143" i="1" s="1" a="1"/>
  <c r="G143" i="1" s="1"/>
  <c r="D144" i="1"/>
  <c r="G144" i="1" s="1" a="1"/>
  <c r="G144" i="1" s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G159" i="1" s="1" a="1"/>
  <c r="G159" i="1" s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G175" i="1" s="1" a="1"/>
  <c r="G175" i="1" s="1"/>
  <c r="D176" i="1"/>
  <c r="G176" i="1" s="1" a="1"/>
  <c r="G176" i="1" s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G191" i="1" s="1" a="1"/>
  <c r="G191" i="1" s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G208" i="1" s="1" a="1"/>
  <c r="G208" i="1" s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G223" i="1" s="1" a="1"/>
  <c r="G223" i="1" s="1"/>
  <c r="D224" i="1"/>
  <c r="G224" i="1" s="1" a="1"/>
  <c r="G224" i="1" s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G239" i="1" s="1" a="1"/>
  <c r="G239" i="1" s="1"/>
  <c r="D240" i="1"/>
  <c r="G240" i="1" s="1" a="1"/>
  <c r="G240" i="1" s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G255" i="1" s="1" a="1"/>
  <c r="G255" i="1" s="1"/>
  <c r="D256" i="1"/>
  <c r="G256" i="1" s="1" a="1"/>
  <c r="G256" i="1" s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G271" i="1" s="1" a="1"/>
  <c r="G271" i="1" s="1"/>
  <c r="D272" i="1"/>
  <c r="G272" i="1" s="1" a="1"/>
  <c r="G272" i="1" s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G287" i="1" s="1" a="1"/>
  <c r="G287" i="1" s="1"/>
  <c r="D288" i="1"/>
  <c r="G288" i="1" s="1" a="1"/>
  <c r="G288" i="1" s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G304" i="1" s="1" a="1"/>
  <c r="G304" i="1" s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G319" i="1" s="1" a="1"/>
  <c r="G319" i="1" s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G335" i="1" s="1" a="1"/>
  <c r="G335" i="1" s="1"/>
  <c r="D336" i="1"/>
  <c r="G336" i="1" s="1" a="1"/>
  <c r="G336" i="1" s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G352" i="1" s="1" a="1"/>
  <c r="G352" i="1" s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G367" i="1" s="1" a="1"/>
  <c r="G367" i="1" s="1"/>
  <c r="D368" i="1"/>
  <c r="G368" i="1" s="1" a="1"/>
  <c r="G368" i="1" s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G383" i="1" s="1" a="1"/>
  <c r="G383" i="1" s="1"/>
  <c r="D384" i="1"/>
  <c r="G384" i="1" s="1" a="1"/>
  <c r="G384" i="1" s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G399" i="1" s="1" a="1"/>
  <c r="G399" i="1" s="1"/>
  <c r="D400" i="1"/>
  <c r="G400" i="1" s="1" a="1"/>
  <c r="G400" i="1" s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G415" i="1" s="1" a="1"/>
  <c r="G415" i="1" s="1"/>
  <c r="D416" i="1"/>
  <c r="G416" i="1" s="1" a="1"/>
  <c r="G416" i="1" s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G431" i="1" s="1" a="1"/>
  <c r="G431" i="1" s="1"/>
  <c r="D432" i="1"/>
  <c r="G432" i="1" s="1" a="1"/>
  <c r="G432" i="1" s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G447" i="1" s="1" a="1"/>
  <c r="G447" i="1" s="1"/>
  <c r="D448" i="1"/>
  <c r="G448" i="1" s="1" a="1"/>
  <c r="G448" i="1" s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G463" i="1" s="1" a="1"/>
  <c r="G463" i="1" s="1"/>
  <c r="D464" i="1"/>
  <c r="G464" i="1" s="1" a="1"/>
  <c r="G464" i="1" s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G479" i="1" s="1" a="1"/>
  <c r="G479" i="1" s="1"/>
  <c r="D480" i="1"/>
  <c r="G480" i="1" s="1" a="1"/>
  <c r="G480" i="1" s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G495" i="1" s="1" a="1"/>
  <c r="G495" i="1" s="1"/>
  <c r="D496" i="1"/>
  <c r="G496" i="1" s="1" a="1"/>
  <c r="G496" i="1" s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G512" i="1" s="1" a="1"/>
  <c r="G512" i="1" s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G527" i="1" s="1" a="1"/>
  <c r="G527" i="1" s="1"/>
  <c r="D528" i="1"/>
  <c r="G528" i="1" s="1" a="1"/>
  <c r="G528" i="1" s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G543" i="1" s="1" a="1"/>
  <c r="G543" i="1" s="1"/>
  <c r="D544" i="1"/>
  <c r="G544" i="1" s="1" a="1"/>
  <c r="G544" i="1" s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G559" i="1" s="1" a="1"/>
  <c r="G559" i="1" s="1"/>
  <c r="D560" i="1"/>
  <c r="G560" i="1" s="1" a="1"/>
  <c r="G560" i="1" s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G575" i="1" s="1" a="1"/>
  <c r="G575" i="1" s="1"/>
  <c r="D576" i="1"/>
  <c r="G576" i="1" s="1" a="1"/>
  <c r="G576" i="1" s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G591" i="1" s="1" a="1"/>
  <c r="G591" i="1" s="1"/>
  <c r="D592" i="1"/>
  <c r="G592" i="1" s="1" a="1"/>
  <c r="G592" i="1" s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G607" i="1" s="1" a="1"/>
  <c r="G607" i="1" s="1"/>
  <c r="D608" i="1"/>
  <c r="G608" i="1" s="1" a="1"/>
  <c r="G608" i="1" s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G623" i="1" s="1" a="1"/>
  <c r="G623" i="1" s="1"/>
  <c r="D624" i="1"/>
  <c r="G624" i="1" s="1" a="1"/>
  <c r="G624" i="1" s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G639" i="1" s="1" a="1"/>
  <c r="G639" i="1" s="1"/>
  <c r="D640" i="1"/>
  <c r="G640" i="1" s="1" a="1"/>
  <c r="G640" i="1" s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G653" i="1" s="1" a="1"/>
  <c r="G653" i="1" s="1"/>
  <c r="D654" i="1"/>
  <c r="D655" i="1"/>
  <c r="G655" i="1" s="1" a="1"/>
  <c r="G655" i="1" s="1"/>
  <c r="D656" i="1"/>
  <c r="G656" i="1" s="1" a="1"/>
  <c r="G656" i="1" s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G670" i="1" s="1" a="1"/>
  <c r="G670" i="1" s="1"/>
  <c r="D671" i="1"/>
  <c r="D672" i="1"/>
  <c r="G672" i="1" s="1" a="1"/>
  <c r="G672" i="1" s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G688" i="1" s="1" a="1"/>
  <c r="G688" i="1" s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3" i="1"/>
  <c r="C11" i="4" s="1"/>
  <c r="E3" i="1"/>
  <c r="C12" i="4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S143" i="1" l="1"/>
  <c r="N143" i="1"/>
  <c r="O143" i="1"/>
  <c r="L143" i="1"/>
  <c r="M143" i="1"/>
  <c r="S656" i="1"/>
  <c r="N656" i="1"/>
  <c r="L656" i="1"/>
  <c r="O656" i="1"/>
  <c r="M656" i="1"/>
  <c r="S592" i="1"/>
  <c r="N592" i="1"/>
  <c r="L592" i="1"/>
  <c r="O592" i="1"/>
  <c r="M592" i="1"/>
  <c r="S528" i="1"/>
  <c r="N528" i="1"/>
  <c r="M528" i="1"/>
  <c r="O528" i="1"/>
  <c r="L528" i="1"/>
  <c r="S464" i="1"/>
  <c r="N464" i="1"/>
  <c r="O464" i="1"/>
  <c r="M464" i="1"/>
  <c r="L464" i="1"/>
  <c r="S400" i="1"/>
  <c r="N400" i="1"/>
  <c r="L400" i="1"/>
  <c r="O400" i="1"/>
  <c r="M400" i="1"/>
  <c r="S336" i="1"/>
  <c r="N336" i="1"/>
  <c r="O336" i="1"/>
  <c r="L336" i="1"/>
  <c r="M336" i="1"/>
  <c r="S272" i="1"/>
  <c r="N272" i="1"/>
  <c r="O272" i="1"/>
  <c r="M272" i="1"/>
  <c r="L272" i="1"/>
  <c r="S224" i="1"/>
  <c r="O224" i="1"/>
  <c r="L224" i="1"/>
  <c r="N224" i="1"/>
  <c r="M224" i="1"/>
  <c r="G160" i="1" a="1"/>
  <c r="G160" i="1" s="1"/>
  <c r="S96" i="1"/>
  <c r="O96" i="1"/>
  <c r="N96" i="1"/>
  <c r="L96" i="1"/>
  <c r="M96" i="1"/>
  <c r="S48" i="1"/>
  <c r="L48" i="1"/>
  <c r="O48" i="1"/>
  <c r="M48" i="1"/>
  <c r="N48" i="1"/>
  <c r="S655" i="1"/>
  <c r="N655" i="1"/>
  <c r="O655" i="1"/>
  <c r="L655" i="1"/>
  <c r="M655" i="1"/>
  <c r="S591" i="1"/>
  <c r="N591" i="1"/>
  <c r="O591" i="1"/>
  <c r="L591" i="1"/>
  <c r="M591" i="1"/>
  <c r="S527" i="1"/>
  <c r="N527" i="1"/>
  <c r="O527" i="1"/>
  <c r="L527" i="1"/>
  <c r="M527" i="1"/>
  <c r="S463" i="1"/>
  <c r="N463" i="1"/>
  <c r="O463" i="1"/>
  <c r="L463" i="1"/>
  <c r="M463" i="1"/>
  <c r="S399" i="1"/>
  <c r="N399" i="1"/>
  <c r="O399" i="1"/>
  <c r="L399" i="1"/>
  <c r="M399" i="1"/>
  <c r="S335" i="1"/>
  <c r="N335" i="1"/>
  <c r="O335" i="1"/>
  <c r="L335" i="1"/>
  <c r="M335" i="1"/>
  <c r="S271" i="1"/>
  <c r="N271" i="1"/>
  <c r="O271" i="1"/>
  <c r="L271" i="1"/>
  <c r="M271" i="1"/>
  <c r="S191" i="1"/>
  <c r="N191" i="1"/>
  <c r="L191" i="1"/>
  <c r="O191" i="1"/>
  <c r="M191" i="1"/>
  <c r="S16" i="1"/>
  <c r="N16" i="1"/>
  <c r="O16" i="1"/>
  <c r="M16" i="1"/>
  <c r="L16" i="1"/>
  <c r="S15" i="1"/>
  <c r="N15" i="1"/>
  <c r="O15" i="1"/>
  <c r="L15" i="1"/>
  <c r="M15" i="1"/>
  <c r="S670" i="1"/>
  <c r="O670" i="1"/>
  <c r="M670" i="1"/>
  <c r="N670" i="1"/>
  <c r="L670" i="1"/>
  <c r="S640" i="1"/>
  <c r="L640" i="1"/>
  <c r="M640" i="1"/>
  <c r="O640" i="1"/>
  <c r="N640" i="1"/>
  <c r="S576" i="1"/>
  <c r="L576" i="1"/>
  <c r="M576" i="1"/>
  <c r="N576" i="1"/>
  <c r="O576" i="1"/>
  <c r="S512" i="1"/>
  <c r="M512" i="1"/>
  <c r="O512" i="1"/>
  <c r="N512" i="1"/>
  <c r="L512" i="1"/>
  <c r="S448" i="1"/>
  <c r="M448" i="1"/>
  <c r="N448" i="1"/>
  <c r="L448" i="1"/>
  <c r="O448" i="1"/>
  <c r="S384" i="1"/>
  <c r="O384" i="1"/>
  <c r="L384" i="1"/>
  <c r="N384" i="1"/>
  <c r="M384" i="1"/>
  <c r="S304" i="1"/>
  <c r="L304" i="1"/>
  <c r="O304" i="1"/>
  <c r="M304" i="1"/>
  <c r="N304" i="1"/>
  <c r="S176" i="1"/>
  <c r="M176" i="1"/>
  <c r="N176" i="1"/>
  <c r="O176" i="1"/>
  <c r="L176" i="1"/>
  <c r="S639" i="1"/>
  <c r="N639" i="1"/>
  <c r="L639" i="1"/>
  <c r="M639" i="1"/>
  <c r="O639" i="1"/>
  <c r="S575" i="1"/>
  <c r="N575" i="1"/>
  <c r="L575" i="1"/>
  <c r="M575" i="1"/>
  <c r="O575" i="1"/>
  <c r="S495" i="1"/>
  <c r="N495" i="1"/>
  <c r="L495" i="1"/>
  <c r="O495" i="1"/>
  <c r="M495" i="1"/>
  <c r="S431" i="1"/>
  <c r="N431" i="1"/>
  <c r="L431" i="1"/>
  <c r="M431" i="1"/>
  <c r="O431" i="1"/>
  <c r="S287" i="1"/>
  <c r="N287" i="1"/>
  <c r="L287" i="1"/>
  <c r="M287" i="1"/>
  <c r="O287" i="1"/>
  <c r="S653" i="1"/>
  <c r="N653" i="1"/>
  <c r="O653" i="1"/>
  <c r="L653" i="1"/>
  <c r="M653" i="1"/>
  <c r="S31" i="1"/>
  <c r="N31" i="1"/>
  <c r="L31" i="1"/>
  <c r="O31" i="1"/>
  <c r="M31" i="1"/>
  <c r="S95" i="1"/>
  <c r="N95" i="1"/>
  <c r="M95" i="1"/>
  <c r="L95" i="1"/>
  <c r="O95" i="1"/>
  <c r="S672" i="1"/>
  <c r="O672" i="1"/>
  <c r="M672" i="1"/>
  <c r="N672" i="1"/>
  <c r="L672" i="1"/>
  <c r="S608" i="1"/>
  <c r="O608" i="1"/>
  <c r="M608" i="1"/>
  <c r="N608" i="1"/>
  <c r="L608" i="1"/>
  <c r="S544" i="1"/>
  <c r="O544" i="1"/>
  <c r="L544" i="1"/>
  <c r="M544" i="1"/>
  <c r="N544" i="1"/>
  <c r="S480" i="1"/>
  <c r="O480" i="1"/>
  <c r="L480" i="1"/>
  <c r="N480" i="1"/>
  <c r="M480" i="1"/>
  <c r="S416" i="1"/>
  <c r="O416" i="1"/>
  <c r="N416" i="1"/>
  <c r="L416" i="1"/>
  <c r="M416" i="1"/>
  <c r="S352" i="1"/>
  <c r="O352" i="1"/>
  <c r="M352" i="1"/>
  <c r="N352" i="1"/>
  <c r="L352" i="1"/>
  <c r="G320" i="1" a="1"/>
  <c r="G320" i="1" s="1"/>
  <c r="S256" i="1"/>
  <c r="M256" i="1"/>
  <c r="L256" i="1"/>
  <c r="O256" i="1"/>
  <c r="N256" i="1"/>
  <c r="S208" i="1"/>
  <c r="N208" i="1"/>
  <c r="O208" i="1"/>
  <c r="M208" i="1"/>
  <c r="L208" i="1"/>
  <c r="G192" i="1" a="1"/>
  <c r="G192" i="1" s="1"/>
  <c r="S128" i="1"/>
  <c r="M128" i="1"/>
  <c r="O128" i="1"/>
  <c r="L128" i="1"/>
  <c r="N128" i="1"/>
  <c r="S80" i="1"/>
  <c r="N80" i="1"/>
  <c r="M80" i="1"/>
  <c r="O80" i="1"/>
  <c r="L80" i="1"/>
  <c r="S32" i="1"/>
  <c r="O32" i="1"/>
  <c r="N32" i="1"/>
  <c r="M32" i="1"/>
  <c r="L32" i="1"/>
  <c r="G687" i="1" a="1"/>
  <c r="G687" i="1" s="1"/>
  <c r="S623" i="1"/>
  <c r="N623" i="1"/>
  <c r="L623" i="1"/>
  <c r="O623" i="1"/>
  <c r="M623" i="1"/>
  <c r="S559" i="1"/>
  <c r="N559" i="1"/>
  <c r="L559" i="1"/>
  <c r="O559" i="1"/>
  <c r="M559" i="1"/>
  <c r="S479" i="1"/>
  <c r="N479" i="1"/>
  <c r="L479" i="1"/>
  <c r="O479" i="1"/>
  <c r="M479" i="1"/>
  <c r="S415" i="1"/>
  <c r="N415" i="1"/>
  <c r="L415" i="1"/>
  <c r="O415" i="1"/>
  <c r="M415" i="1"/>
  <c r="S367" i="1"/>
  <c r="N367" i="1"/>
  <c r="L367" i="1"/>
  <c r="M367" i="1"/>
  <c r="O367" i="1"/>
  <c r="G351" i="1" a="1"/>
  <c r="G351" i="1" s="1"/>
  <c r="G303" i="1" a="1"/>
  <c r="G303" i="1" s="1"/>
  <c r="S239" i="1"/>
  <c r="N239" i="1"/>
  <c r="L239" i="1"/>
  <c r="M239" i="1"/>
  <c r="O239" i="1"/>
  <c r="S223" i="1"/>
  <c r="N223" i="1"/>
  <c r="L223" i="1"/>
  <c r="O223" i="1"/>
  <c r="M223" i="1"/>
  <c r="G207" i="1" a="1"/>
  <c r="G207" i="1" s="1"/>
  <c r="S47" i="1"/>
  <c r="N47" i="1"/>
  <c r="L47" i="1"/>
  <c r="O47" i="1"/>
  <c r="M47" i="1"/>
  <c r="S79" i="1"/>
  <c r="N79" i="1"/>
  <c r="O79" i="1"/>
  <c r="L79" i="1"/>
  <c r="M79" i="1"/>
  <c r="S63" i="1"/>
  <c r="N63" i="1"/>
  <c r="M63" i="1"/>
  <c r="L63" i="1"/>
  <c r="O63" i="1"/>
  <c r="S688" i="1"/>
  <c r="M688" i="1"/>
  <c r="N688" i="1"/>
  <c r="O688" i="1"/>
  <c r="L688" i="1"/>
  <c r="S624" i="1"/>
  <c r="O624" i="1"/>
  <c r="L624" i="1"/>
  <c r="N624" i="1"/>
  <c r="M624" i="1"/>
  <c r="S560" i="1"/>
  <c r="L560" i="1"/>
  <c r="O560" i="1"/>
  <c r="N560" i="1"/>
  <c r="M560" i="1"/>
  <c r="S496" i="1"/>
  <c r="N496" i="1"/>
  <c r="M496" i="1"/>
  <c r="O496" i="1"/>
  <c r="L496" i="1"/>
  <c r="S432" i="1"/>
  <c r="M432" i="1"/>
  <c r="N432" i="1"/>
  <c r="O432" i="1"/>
  <c r="L432" i="1"/>
  <c r="S368" i="1"/>
  <c r="N368" i="1"/>
  <c r="L368" i="1"/>
  <c r="O368" i="1"/>
  <c r="M368" i="1"/>
  <c r="S288" i="1"/>
  <c r="O288" i="1"/>
  <c r="N288" i="1"/>
  <c r="M288" i="1"/>
  <c r="L288" i="1"/>
  <c r="S240" i="1"/>
  <c r="O240" i="1"/>
  <c r="N240" i="1"/>
  <c r="M240" i="1"/>
  <c r="L240" i="1"/>
  <c r="S144" i="1"/>
  <c r="N144" i="1"/>
  <c r="O144" i="1"/>
  <c r="M144" i="1"/>
  <c r="L144" i="1"/>
  <c r="S112" i="1"/>
  <c r="M112" i="1"/>
  <c r="O112" i="1"/>
  <c r="L112" i="1"/>
  <c r="N112" i="1"/>
  <c r="S64" i="1"/>
  <c r="L64" i="1"/>
  <c r="M64" i="1"/>
  <c r="O64" i="1"/>
  <c r="N64" i="1"/>
  <c r="G671" i="1" a="1"/>
  <c r="G671" i="1" s="1"/>
  <c r="S607" i="1"/>
  <c r="N607" i="1"/>
  <c r="L607" i="1"/>
  <c r="M607" i="1"/>
  <c r="O607" i="1"/>
  <c r="S543" i="1"/>
  <c r="N543" i="1"/>
  <c r="L543" i="1"/>
  <c r="O543" i="1"/>
  <c r="M543" i="1"/>
  <c r="G511" i="1" a="1"/>
  <c r="G511" i="1" s="1"/>
  <c r="S447" i="1"/>
  <c r="N447" i="1"/>
  <c r="L447" i="1"/>
  <c r="O447" i="1"/>
  <c r="M447" i="1"/>
  <c r="S383" i="1"/>
  <c r="N383" i="1"/>
  <c r="L383" i="1"/>
  <c r="O383" i="1"/>
  <c r="M383" i="1"/>
  <c r="S319" i="1"/>
  <c r="N319" i="1"/>
  <c r="L319" i="1"/>
  <c r="M319" i="1"/>
  <c r="O319" i="1"/>
  <c r="S255" i="1"/>
  <c r="N255" i="1"/>
  <c r="L255" i="1"/>
  <c r="M255" i="1"/>
  <c r="O255" i="1"/>
  <c r="S175" i="1"/>
  <c r="N175" i="1"/>
  <c r="L175" i="1"/>
  <c r="M175" i="1"/>
  <c r="O175" i="1"/>
  <c r="S111" i="1"/>
  <c r="N111" i="1"/>
  <c r="M111" i="1"/>
  <c r="L111" i="1"/>
  <c r="O111" i="1"/>
  <c r="S127" i="1"/>
  <c r="N127" i="1"/>
  <c r="L127" i="1"/>
  <c r="M127" i="1"/>
  <c r="O127" i="1"/>
  <c r="S159" i="1"/>
  <c r="N159" i="1"/>
  <c r="L159" i="1"/>
  <c r="O159" i="1"/>
  <c r="M159" i="1"/>
  <c r="G444" i="1" a="1"/>
  <c r="G444" i="1" s="1"/>
  <c r="G235" i="1" a="1"/>
  <c r="G235" i="1" s="1"/>
  <c r="G694" i="1" a="1"/>
  <c r="G694" i="1" s="1"/>
  <c r="G678" i="1" a="1"/>
  <c r="G678" i="1" s="1"/>
  <c r="G662" i="1" a="1"/>
  <c r="G662" i="1" s="1"/>
  <c r="G646" i="1" a="1"/>
  <c r="G646" i="1" s="1"/>
  <c r="G630" i="1" a="1"/>
  <c r="G630" i="1" s="1"/>
  <c r="G614" i="1" a="1"/>
  <c r="G614" i="1" s="1"/>
  <c r="G598" i="1" a="1"/>
  <c r="G598" i="1" s="1"/>
  <c r="G582" i="1" a="1"/>
  <c r="G582" i="1" s="1"/>
  <c r="G566" i="1" a="1"/>
  <c r="G566" i="1" s="1"/>
  <c r="G550" i="1" a="1"/>
  <c r="G550" i="1" s="1"/>
  <c r="G534" i="1" a="1"/>
  <c r="G534" i="1" s="1"/>
  <c r="G518" i="1" a="1"/>
  <c r="G518" i="1" s="1"/>
  <c r="G502" i="1" a="1"/>
  <c r="G502" i="1" s="1"/>
  <c r="G486" i="1" a="1"/>
  <c r="G486" i="1" s="1"/>
  <c r="G470" i="1" a="1"/>
  <c r="G470" i="1" s="1"/>
  <c r="G454" i="1" a="1"/>
  <c r="G454" i="1" s="1"/>
  <c r="G438" i="1" a="1"/>
  <c r="G438" i="1" s="1"/>
  <c r="G422" i="1" a="1"/>
  <c r="G422" i="1" s="1"/>
  <c r="G406" i="1" a="1"/>
  <c r="G406" i="1" s="1"/>
  <c r="G390" i="1" a="1"/>
  <c r="G390" i="1" s="1"/>
  <c r="G374" i="1" a="1"/>
  <c r="G374" i="1" s="1"/>
  <c r="G358" i="1" a="1"/>
  <c r="G358" i="1" s="1"/>
  <c r="G342" i="1" a="1"/>
  <c r="G342" i="1" s="1"/>
  <c r="G326" i="1" a="1"/>
  <c r="G326" i="1" s="1"/>
  <c r="G310" i="1" a="1"/>
  <c r="G310" i="1" s="1"/>
  <c r="G294" i="1" a="1"/>
  <c r="G294" i="1" s="1"/>
  <c r="G278" i="1" a="1"/>
  <c r="G278" i="1" s="1"/>
  <c r="G262" i="1" a="1"/>
  <c r="G262" i="1" s="1"/>
  <c r="G246" i="1" a="1"/>
  <c r="G246" i="1" s="1"/>
  <c r="G230" i="1" a="1"/>
  <c r="G230" i="1" s="1"/>
  <c r="G214" i="1" a="1"/>
  <c r="G214" i="1" s="1"/>
  <c r="G198" i="1" a="1"/>
  <c r="G198" i="1" s="1"/>
  <c r="G182" i="1" a="1"/>
  <c r="G182" i="1" s="1"/>
  <c r="G166" i="1" a="1"/>
  <c r="G166" i="1" s="1"/>
  <c r="G150" i="1" a="1"/>
  <c r="G150" i="1" s="1"/>
  <c r="G134" i="1" a="1"/>
  <c r="G134" i="1" s="1"/>
  <c r="G118" i="1" a="1"/>
  <c r="G118" i="1" s="1"/>
  <c r="G102" i="1" a="1"/>
  <c r="G102" i="1" s="1"/>
  <c r="G86" i="1" a="1"/>
  <c r="G86" i="1" s="1"/>
  <c r="G70" i="1" a="1"/>
  <c r="G70" i="1" s="1"/>
  <c r="G54" i="1" a="1"/>
  <c r="G54" i="1" s="1"/>
  <c r="G38" i="1" a="1"/>
  <c r="G38" i="1" s="1"/>
  <c r="G22" i="1" a="1"/>
  <c r="G22" i="1" s="1"/>
  <c r="G6" i="1" a="1"/>
  <c r="G6" i="1" s="1"/>
  <c r="G596" i="1" a="1"/>
  <c r="G596" i="1" s="1"/>
  <c r="G532" i="1" a="1"/>
  <c r="G532" i="1" s="1"/>
  <c r="G484" i="1" a="1"/>
  <c r="G484" i="1" s="1"/>
  <c r="G324" i="1" a="1"/>
  <c r="G324" i="1" s="1"/>
  <c r="G244" i="1" a="1"/>
  <c r="G244" i="1" s="1"/>
  <c r="G674" i="1" a="1"/>
  <c r="G674" i="1" s="1"/>
  <c r="G562" i="1" a="1"/>
  <c r="G562" i="1" s="1"/>
  <c r="G514" i="1" a="1"/>
  <c r="G514" i="1" s="1"/>
  <c r="G370" i="1" a="1"/>
  <c r="G370" i="1" s="1"/>
  <c r="G98" i="1" a="1"/>
  <c r="G98" i="1" s="1"/>
  <c r="G34" i="1" a="1"/>
  <c r="G34" i="1" s="1"/>
  <c r="G696" i="1" a="1"/>
  <c r="G696" i="1" s="1"/>
  <c r="G407" i="1" a="1"/>
  <c r="G407" i="1" s="1"/>
  <c r="G516" i="1" a="1"/>
  <c r="G516" i="1" s="1"/>
  <c r="G180" i="1" a="1"/>
  <c r="G180" i="1" s="1"/>
  <c r="G483" i="1" a="1"/>
  <c r="G483" i="1" s="1"/>
  <c r="G435" i="1" a="1"/>
  <c r="G435" i="1" s="1"/>
  <c r="G387" i="1" a="1"/>
  <c r="G387" i="1" s="1"/>
  <c r="G243" i="1" a="1"/>
  <c r="G243" i="1" s="1"/>
  <c r="G211" i="1" a="1"/>
  <c r="G211" i="1" s="1"/>
  <c r="G179" i="1" a="1"/>
  <c r="G179" i="1" s="1"/>
  <c r="G35" i="1" a="1"/>
  <c r="G35" i="1" s="1"/>
  <c r="G434" i="1" a="1"/>
  <c r="G434" i="1" s="1"/>
  <c r="G194" i="1" a="1"/>
  <c r="G194" i="1" s="1"/>
  <c r="G18" i="1" a="1"/>
  <c r="G18" i="1" s="1"/>
  <c r="G321" i="1" a="1"/>
  <c r="G321" i="1" s="1"/>
  <c r="G638" i="1" a="1"/>
  <c r="G638" i="1" s="1"/>
  <c r="G126" i="1" a="1"/>
  <c r="G126" i="1" s="1"/>
  <c r="G253" i="1" a="1"/>
  <c r="G253" i="1" s="1"/>
  <c r="G488" i="1" a="1"/>
  <c r="G488" i="1" s="1"/>
  <c r="G292" i="1" a="1"/>
  <c r="G292" i="1" s="1"/>
  <c r="G212" i="1" a="1"/>
  <c r="G212" i="1" s="1"/>
  <c r="G52" i="1" a="1"/>
  <c r="G52" i="1" s="1"/>
  <c r="G643" i="1" a="1"/>
  <c r="G643" i="1" s="1"/>
  <c r="G579" i="1" a="1"/>
  <c r="G579" i="1" s="1"/>
  <c r="G419" i="1" a="1"/>
  <c r="G419" i="1" s="1"/>
  <c r="G307" i="1" a="1"/>
  <c r="G307" i="1" s="1"/>
  <c r="G99" i="1" a="1"/>
  <c r="G99" i="1" s="1"/>
  <c r="G642" i="1" a="1"/>
  <c r="G642" i="1" s="1"/>
  <c r="G306" i="1" a="1"/>
  <c r="G306" i="1" s="1"/>
  <c r="G226" i="1" a="1"/>
  <c r="G226" i="1" s="1"/>
  <c r="G130" i="1" a="1"/>
  <c r="G130" i="1" s="1"/>
  <c r="G318" i="1" a="1"/>
  <c r="G318" i="1" s="1"/>
  <c r="G190" i="1" a="1"/>
  <c r="G190" i="1" s="1"/>
  <c r="G380" i="1" a="1"/>
  <c r="G380" i="1" s="1"/>
  <c r="G408" i="1" a="1"/>
  <c r="G408" i="1" s="1"/>
  <c r="G280" i="1" a="1"/>
  <c r="G280" i="1" s="1"/>
  <c r="G100" i="1" a="1"/>
  <c r="G100" i="1" s="1"/>
  <c r="G659" i="1" a="1"/>
  <c r="G659" i="1" s="1"/>
  <c r="G371" i="1" a="1"/>
  <c r="G371" i="1" s="1"/>
  <c r="G275" i="1" a="1"/>
  <c r="G275" i="1" s="1"/>
  <c r="G147" i="1" a="1"/>
  <c r="G147" i="1" s="1"/>
  <c r="G578" i="1" a="1"/>
  <c r="G578" i="1" s="1"/>
  <c r="G338" i="1" a="1"/>
  <c r="G338" i="1" s="1"/>
  <c r="G683" i="1" a="1"/>
  <c r="G683" i="1" s="1"/>
  <c r="G635" i="1" a="1"/>
  <c r="G635" i="1" s="1"/>
  <c r="G571" i="1" a="1"/>
  <c r="G571" i="1" s="1"/>
  <c r="G523" i="1" a="1"/>
  <c r="G523" i="1" s="1"/>
  <c r="G459" i="1" a="1"/>
  <c r="G459" i="1" s="1"/>
  <c r="G427" i="1" a="1"/>
  <c r="G427" i="1" s="1"/>
  <c r="G411" i="1" a="1"/>
  <c r="G411" i="1" s="1"/>
  <c r="G379" i="1" a="1"/>
  <c r="G379" i="1" s="1"/>
  <c r="G363" i="1" a="1"/>
  <c r="G363" i="1" s="1"/>
  <c r="G315" i="1" a="1"/>
  <c r="G315" i="1" s="1"/>
  <c r="G299" i="1" a="1"/>
  <c r="G299" i="1" s="1"/>
  <c r="G283" i="1" a="1"/>
  <c r="G283" i="1" s="1"/>
  <c r="G251" i="1" a="1"/>
  <c r="G251" i="1" s="1"/>
  <c r="G219" i="1" a="1"/>
  <c r="G219" i="1" s="1"/>
  <c r="G203" i="1" a="1"/>
  <c r="G203" i="1" s="1"/>
  <c r="G187" i="1" a="1"/>
  <c r="G187" i="1" s="1"/>
  <c r="G155" i="1" a="1"/>
  <c r="G155" i="1" s="1"/>
  <c r="G139" i="1" a="1"/>
  <c r="G139" i="1" s="1"/>
  <c r="G123" i="1" a="1"/>
  <c r="G123" i="1" s="1"/>
  <c r="G91" i="1" a="1"/>
  <c r="G91" i="1" s="1"/>
  <c r="G75" i="1" a="1"/>
  <c r="G75" i="1" s="1"/>
  <c r="G43" i="1" a="1"/>
  <c r="G43" i="1" s="1"/>
  <c r="G11" i="1" a="1"/>
  <c r="G11" i="1" s="1"/>
  <c r="G580" i="1" a="1"/>
  <c r="G580" i="1" s="1"/>
  <c r="G452" i="1" a="1"/>
  <c r="G452" i="1" s="1"/>
  <c r="G388" i="1" a="1"/>
  <c r="G388" i="1" s="1"/>
  <c r="G148" i="1" a="1"/>
  <c r="G148" i="1" s="1"/>
  <c r="G84" i="1" a="1"/>
  <c r="G84" i="1" s="1"/>
  <c r="G611" i="1" a="1"/>
  <c r="G611" i="1" s="1"/>
  <c r="G515" i="1" a="1"/>
  <c r="G515" i="1" s="1"/>
  <c r="G451" i="1" a="1"/>
  <c r="G451" i="1" s="1"/>
  <c r="G227" i="1" a="1"/>
  <c r="G227" i="1" s="1"/>
  <c r="G67" i="1" a="1"/>
  <c r="G67" i="1" s="1"/>
  <c r="G402" i="1" a="1"/>
  <c r="G402" i="1" s="1"/>
  <c r="G354" i="1" a="1"/>
  <c r="G354" i="1" s="1"/>
  <c r="G641" i="1" a="1"/>
  <c r="G641" i="1" s="1"/>
  <c r="G699" i="1" a="1"/>
  <c r="G699" i="1" s="1"/>
  <c r="G667" i="1" a="1"/>
  <c r="G667" i="1" s="1"/>
  <c r="G651" i="1" a="1"/>
  <c r="G651" i="1" s="1"/>
  <c r="G619" i="1" a="1"/>
  <c r="G619" i="1" s="1"/>
  <c r="G587" i="1" a="1"/>
  <c r="G587" i="1" s="1"/>
  <c r="G555" i="1" a="1"/>
  <c r="G555" i="1" s="1"/>
  <c r="G507" i="1" a="1"/>
  <c r="G507" i="1" s="1"/>
  <c r="G491" i="1" a="1"/>
  <c r="G491" i="1" s="1"/>
  <c r="G443" i="1" a="1"/>
  <c r="G443" i="1" s="1"/>
  <c r="G395" i="1" a="1"/>
  <c r="G395" i="1" s="1"/>
  <c r="G356" i="1" a="1"/>
  <c r="G356" i="1" s="1"/>
  <c r="G36" i="1" a="1"/>
  <c r="G36" i="1" s="1"/>
  <c r="G547" i="1" a="1"/>
  <c r="G547" i="1" s="1"/>
  <c r="G339" i="1" a="1"/>
  <c r="G339" i="1" s="1"/>
  <c r="G163" i="1" a="1"/>
  <c r="G163" i="1" s="1"/>
  <c r="G274" i="1" a="1"/>
  <c r="G274" i="1" s="1"/>
  <c r="G162" i="1" a="1"/>
  <c r="G162" i="1" s="1"/>
  <c r="G66" i="1" a="1"/>
  <c r="G66" i="1" s="1"/>
  <c r="G603" i="1" a="1"/>
  <c r="G603" i="1" s="1"/>
  <c r="G526" i="1" a="1"/>
  <c r="G526" i="1" s="1"/>
  <c r="G430" i="1" a="1"/>
  <c r="G430" i="1" s="1"/>
  <c r="G62" i="1" a="1"/>
  <c r="G62" i="1" s="1"/>
  <c r="G525" i="1" a="1"/>
  <c r="G525" i="1" s="1"/>
  <c r="G397" i="1" a="1"/>
  <c r="G397" i="1" s="1"/>
  <c r="G317" i="1" a="1"/>
  <c r="G317" i="1" s="1"/>
  <c r="G189" i="1" a="1"/>
  <c r="G189" i="1" s="1"/>
  <c r="G125" i="1" a="1"/>
  <c r="G125" i="1" s="1"/>
  <c r="G684" i="1" a="1"/>
  <c r="G684" i="1" s="1"/>
  <c r="G652" i="1" a="1"/>
  <c r="G652" i="1" s="1"/>
  <c r="G620" i="1" a="1"/>
  <c r="G620" i="1" s="1"/>
  <c r="G588" i="1" a="1"/>
  <c r="G588" i="1" s="1"/>
  <c r="G524" i="1" a="1"/>
  <c r="G524" i="1" s="1"/>
  <c r="G492" i="1" a="1"/>
  <c r="G492" i="1" s="1"/>
  <c r="G476" i="1" a="1"/>
  <c r="G476" i="1" s="1"/>
  <c r="G412" i="1" a="1"/>
  <c r="G412" i="1" s="1"/>
  <c r="G316" i="1" a="1"/>
  <c r="G316" i="1" s="1"/>
  <c r="G252" i="1" a="1"/>
  <c r="G252" i="1" s="1"/>
  <c r="G236" i="1" a="1"/>
  <c r="G236" i="1" s="1"/>
  <c r="G204" i="1" a="1"/>
  <c r="G204" i="1" s="1"/>
  <c r="G172" i="1" a="1"/>
  <c r="G172" i="1" s="1"/>
  <c r="G140" i="1" a="1"/>
  <c r="G140" i="1" s="1"/>
  <c r="G108" i="1" a="1"/>
  <c r="G108" i="1" s="1"/>
  <c r="G44" i="1" a="1"/>
  <c r="G44" i="1" s="1"/>
  <c r="G12" i="1" a="1"/>
  <c r="G12" i="1" s="1"/>
  <c r="G506" i="1" a="1"/>
  <c r="G506" i="1" s="1"/>
  <c r="G606" i="1" a="1"/>
  <c r="G606" i="1" s="1"/>
  <c r="G462" i="1" a="1"/>
  <c r="G462" i="1" s="1"/>
  <c r="G270" i="1" a="1"/>
  <c r="G270" i="1" s="1"/>
  <c r="G158" i="1" a="1"/>
  <c r="G158" i="1" s="1"/>
  <c r="G621" i="1" a="1"/>
  <c r="G621" i="1" s="1"/>
  <c r="G445" i="1" a="1"/>
  <c r="G445" i="1" s="1"/>
  <c r="G381" i="1" a="1"/>
  <c r="G381" i="1" s="1"/>
  <c r="G173" i="1" a="1"/>
  <c r="G173" i="1" s="1"/>
  <c r="G109" i="1" a="1"/>
  <c r="G109" i="1" s="1"/>
  <c r="G45" i="1" a="1"/>
  <c r="G45" i="1" s="1"/>
  <c r="G693" i="1" a="1"/>
  <c r="G693" i="1" s="1"/>
  <c r="G661" i="1" a="1"/>
  <c r="G661" i="1" s="1"/>
  <c r="G629" i="1" a="1"/>
  <c r="G629" i="1" s="1"/>
  <c r="G597" i="1" a="1"/>
  <c r="G597" i="1" s="1"/>
  <c r="G565" i="1" a="1"/>
  <c r="G565" i="1" s="1"/>
  <c r="G517" i="1" a="1"/>
  <c r="G517" i="1" s="1"/>
  <c r="G485" i="1" a="1"/>
  <c r="G485" i="1" s="1"/>
  <c r="G469" i="1" a="1"/>
  <c r="G469" i="1" s="1"/>
  <c r="G437" i="1" a="1"/>
  <c r="G437" i="1" s="1"/>
  <c r="G405" i="1" a="1"/>
  <c r="G405" i="1" s="1"/>
  <c r="G373" i="1" a="1"/>
  <c r="G373" i="1" s="1"/>
  <c r="G341" i="1" a="1"/>
  <c r="G341" i="1" s="1"/>
  <c r="G309" i="1" a="1"/>
  <c r="G309" i="1" s="1"/>
  <c r="G277" i="1" a="1"/>
  <c r="G277" i="1" s="1"/>
  <c r="G261" i="1" a="1"/>
  <c r="G261" i="1" s="1"/>
  <c r="G229" i="1" a="1"/>
  <c r="G229" i="1" s="1"/>
  <c r="G197" i="1" a="1"/>
  <c r="G197" i="1" s="1"/>
  <c r="G165" i="1" a="1"/>
  <c r="G165" i="1" s="1"/>
  <c r="G133" i="1" a="1"/>
  <c r="G133" i="1" s="1"/>
  <c r="G101" i="1" a="1"/>
  <c r="G101" i="1" s="1"/>
  <c r="G69" i="1" a="1"/>
  <c r="G69" i="1" s="1"/>
  <c r="G37" i="1" a="1"/>
  <c r="G37" i="1" s="1"/>
  <c r="G21" i="1" a="1"/>
  <c r="G21" i="1" s="1"/>
  <c r="G692" i="1" a="1"/>
  <c r="G692" i="1" s="1"/>
  <c r="G676" i="1" a="1"/>
  <c r="G676" i="1" s="1"/>
  <c r="G660" i="1" a="1"/>
  <c r="G660" i="1" s="1"/>
  <c r="G420" i="1" a="1"/>
  <c r="G420" i="1" s="1"/>
  <c r="G308" i="1" a="1"/>
  <c r="G308" i="1" s="1"/>
  <c r="G260" i="1" a="1"/>
  <c r="G260" i="1" s="1"/>
  <c r="G116" i="1" a="1"/>
  <c r="G116" i="1" s="1"/>
  <c r="G589" i="1" a="1"/>
  <c r="G589" i="1" s="1"/>
  <c r="G677" i="1" a="1"/>
  <c r="G677" i="1" s="1"/>
  <c r="G645" i="1" a="1"/>
  <c r="G645" i="1" s="1"/>
  <c r="G613" i="1" a="1"/>
  <c r="G613" i="1" s="1"/>
  <c r="G581" i="1" a="1"/>
  <c r="G581" i="1" s="1"/>
  <c r="G549" i="1" a="1"/>
  <c r="G549" i="1" s="1"/>
  <c r="G533" i="1" a="1"/>
  <c r="G533" i="1" s="1"/>
  <c r="G501" i="1" a="1"/>
  <c r="G501" i="1" s="1"/>
  <c r="G453" i="1" a="1"/>
  <c r="G453" i="1" s="1"/>
  <c r="G421" i="1" a="1"/>
  <c r="G421" i="1" s="1"/>
  <c r="G389" i="1" a="1"/>
  <c r="G389" i="1" s="1"/>
  <c r="G357" i="1" a="1"/>
  <c r="G357" i="1" s="1"/>
  <c r="G325" i="1" a="1"/>
  <c r="G325" i="1" s="1"/>
  <c r="G293" i="1" a="1"/>
  <c r="G293" i="1" s="1"/>
  <c r="G245" i="1" a="1"/>
  <c r="G245" i="1" s="1"/>
  <c r="G213" i="1" a="1"/>
  <c r="G213" i="1" s="1"/>
  <c r="G181" i="1" a="1"/>
  <c r="G181" i="1" s="1"/>
  <c r="G149" i="1" a="1"/>
  <c r="G149" i="1" s="1"/>
  <c r="G117" i="1" a="1"/>
  <c r="G117" i="1" s="1"/>
  <c r="G85" i="1" a="1"/>
  <c r="G85" i="1" s="1"/>
  <c r="G53" i="1" a="1"/>
  <c r="G53" i="1" s="1"/>
  <c r="G5" i="1" a="1"/>
  <c r="G5" i="1" s="1"/>
  <c r="G334" i="1" a="1"/>
  <c r="G334" i="1" s="1"/>
  <c r="G222" i="1" a="1"/>
  <c r="G222" i="1" s="1"/>
  <c r="G557" i="1" a="1"/>
  <c r="G557" i="1" s="1"/>
  <c r="G461" i="1" a="1"/>
  <c r="G461" i="1" s="1"/>
  <c r="G157" i="1" a="1"/>
  <c r="G157" i="1" s="1"/>
  <c r="G77" i="1" a="1"/>
  <c r="G77" i="1" s="1"/>
  <c r="G494" i="1" a="1"/>
  <c r="G494" i="1" s="1"/>
  <c r="G398" i="1" a="1"/>
  <c r="G398" i="1" s="1"/>
  <c r="G669" i="1" a="1"/>
  <c r="G669" i="1" s="1"/>
  <c r="G429" i="1" a="1"/>
  <c r="G429" i="1" s="1"/>
  <c r="G349" i="1" a="1"/>
  <c r="G349" i="1" s="1"/>
  <c r="G285" i="1" a="1"/>
  <c r="G285" i="1" s="1"/>
  <c r="G221" i="1" a="1"/>
  <c r="G221" i="1" s="1"/>
  <c r="G498" i="1" a="1"/>
  <c r="G498" i="1" s="1"/>
  <c r="G466" i="1" a="1"/>
  <c r="G466" i="1" s="1"/>
  <c r="G290" i="1" a="1"/>
  <c r="G290" i="1" s="1"/>
  <c r="G82" i="1" a="1"/>
  <c r="G82" i="1" s="1"/>
  <c r="G689" i="1" a="1"/>
  <c r="G689" i="1" s="1"/>
  <c r="G673" i="1" a="1"/>
  <c r="G673" i="1" s="1"/>
  <c r="G657" i="1" a="1"/>
  <c r="G657" i="1" s="1"/>
  <c r="G625" i="1" a="1"/>
  <c r="G625" i="1" s="1"/>
  <c r="G609" i="1" a="1"/>
  <c r="G609" i="1" s="1"/>
  <c r="G593" i="1" a="1"/>
  <c r="G593" i="1" s="1"/>
  <c r="G577" i="1" a="1"/>
  <c r="G577" i="1" s="1"/>
  <c r="G561" i="1" a="1"/>
  <c r="G561" i="1" s="1"/>
  <c r="G545" i="1" a="1"/>
  <c r="G545" i="1" s="1"/>
  <c r="G529" i="1" a="1"/>
  <c r="G529" i="1" s="1"/>
  <c r="G513" i="1" a="1"/>
  <c r="G513" i="1" s="1"/>
  <c r="G497" i="1" a="1"/>
  <c r="G497" i="1" s="1"/>
  <c r="G481" i="1" a="1"/>
  <c r="G481" i="1" s="1"/>
  <c r="G465" i="1" a="1"/>
  <c r="G465" i="1" s="1"/>
  <c r="G449" i="1" a="1"/>
  <c r="G449" i="1" s="1"/>
  <c r="G433" i="1" a="1"/>
  <c r="G433" i="1" s="1"/>
  <c r="G417" i="1" a="1"/>
  <c r="G417" i="1" s="1"/>
  <c r="G401" i="1" a="1"/>
  <c r="G401" i="1" s="1"/>
  <c r="G385" i="1" a="1"/>
  <c r="G385" i="1" s="1"/>
  <c r="G369" i="1" a="1"/>
  <c r="G369" i="1" s="1"/>
  <c r="G353" i="1" a="1"/>
  <c r="G353" i="1" s="1"/>
  <c r="G337" i="1" a="1"/>
  <c r="G337" i="1" s="1"/>
  <c r="G305" i="1" a="1"/>
  <c r="G305" i="1" s="1"/>
  <c r="G289" i="1" a="1"/>
  <c r="G289" i="1" s="1"/>
  <c r="G273" i="1" a="1"/>
  <c r="G273" i="1" s="1"/>
  <c r="G257" i="1" a="1"/>
  <c r="G257" i="1" s="1"/>
  <c r="G241" i="1" a="1"/>
  <c r="G241" i="1" s="1"/>
  <c r="G225" i="1" a="1"/>
  <c r="G225" i="1" s="1"/>
  <c r="G209" i="1" a="1"/>
  <c r="G209" i="1" s="1"/>
  <c r="G193" i="1" a="1"/>
  <c r="G193" i="1" s="1"/>
  <c r="G177" i="1" a="1"/>
  <c r="G177" i="1" s="1"/>
  <c r="G161" i="1" a="1"/>
  <c r="G161" i="1" s="1"/>
  <c r="G145" i="1" a="1"/>
  <c r="G145" i="1" s="1"/>
  <c r="G129" i="1" a="1"/>
  <c r="G129" i="1" s="1"/>
  <c r="G113" i="1" a="1"/>
  <c r="G113" i="1" s="1"/>
  <c r="G97" i="1" a="1"/>
  <c r="G97" i="1" s="1"/>
  <c r="G81" i="1" a="1"/>
  <c r="G81" i="1" s="1"/>
  <c r="G65" i="1" a="1"/>
  <c r="G65" i="1" s="1"/>
  <c r="G49" i="1" a="1"/>
  <c r="G49" i="1" s="1"/>
  <c r="G33" i="1" a="1"/>
  <c r="G33" i="1" s="1"/>
  <c r="G17" i="1" a="1"/>
  <c r="G17" i="1" s="1"/>
  <c r="G570" i="1" a="1"/>
  <c r="G570" i="1" s="1"/>
  <c r="G569" i="1" a="1"/>
  <c r="G569" i="1" s="1"/>
  <c r="G695" i="1" a="1"/>
  <c r="G695" i="1" s="1"/>
  <c r="G679" i="1" a="1"/>
  <c r="G679" i="1" s="1"/>
  <c r="G663" i="1" a="1"/>
  <c r="G663" i="1" s="1"/>
  <c r="G647" i="1" a="1"/>
  <c r="G647" i="1" s="1"/>
  <c r="G631" i="1" a="1"/>
  <c r="G631" i="1" s="1"/>
  <c r="G615" i="1" a="1"/>
  <c r="G615" i="1" s="1"/>
  <c r="G599" i="1" a="1"/>
  <c r="G599" i="1" s="1"/>
  <c r="G583" i="1" a="1"/>
  <c r="G583" i="1" s="1"/>
  <c r="G567" i="1" a="1"/>
  <c r="G567" i="1" s="1"/>
  <c r="G551" i="1" a="1"/>
  <c r="G551" i="1" s="1"/>
  <c r="G535" i="1" a="1"/>
  <c r="G535" i="1" s="1"/>
  <c r="G519" i="1" a="1"/>
  <c r="G519" i="1" s="1"/>
  <c r="G503" i="1" a="1"/>
  <c r="G503" i="1" s="1"/>
  <c r="G487" i="1" a="1"/>
  <c r="G487" i="1" s="1"/>
  <c r="G471" i="1" a="1"/>
  <c r="G471" i="1" s="1"/>
  <c r="G455" i="1" a="1"/>
  <c r="G455" i="1" s="1"/>
  <c r="G439" i="1" a="1"/>
  <c r="G439" i="1" s="1"/>
  <c r="G423" i="1" a="1"/>
  <c r="G423" i="1" s="1"/>
  <c r="G391" i="1" a="1"/>
  <c r="G391" i="1" s="1"/>
  <c r="G375" i="1" a="1"/>
  <c r="G375" i="1" s="1"/>
  <c r="G359" i="1" a="1"/>
  <c r="G359" i="1" s="1"/>
  <c r="G343" i="1" a="1"/>
  <c r="G343" i="1" s="1"/>
  <c r="G327" i="1" a="1"/>
  <c r="G327" i="1" s="1"/>
  <c r="G311" i="1" a="1"/>
  <c r="G311" i="1" s="1"/>
  <c r="G295" i="1" a="1"/>
  <c r="G295" i="1" s="1"/>
  <c r="G279" i="1" a="1"/>
  <c r="G279" i="1" s="1"/>
  <c r="G263" i="1" a="1"/>
  <c r="G263" i="1" s="1"/>
  <c r="G247" i="1" a="1"/>
  <c r="G247" i="1" s="1"/>
  <c r="G231" i="1" a="1"/>
  <c r="G231" i="1" s="1"/>
  <c r="G215" i="1" a="1"/>
  <c r="G215" i="1" s="1"/>
  <c r="G199" i="1" a="1"/>
  <c r="G199" i="1" s="1"/>
  <c r="G183" i="1" a="1"/>
  <c r="G183" i="1" s="1"/>
  <c r="G167" i="1" a="1"/>
  <c r="G167" i="1" s="1"/>
  <c r="G151" i="1" a="1"/>
  <c r="G151" i="1" s="1"/>
  <c r="G135" i="1" a="1"/>
  <c r="G135" i="1" s="1"/>
  <c r="G119" i="1" a="1"/>
  <c r="G119" i="1" s="1"/>
  <c r="G103" i="1" a="1"/>
  <c r="G103" i="1" s="1"/>
  <c r="G87" i="1" a="1"/>
  <c r="G87" i="1" s="1"/>
  <c r="G71" i="1" a="1"/>
  <c r="G71" i="1" s="1"/>
  <c r="G55" i="1" a="1"/>
  <c r="G55" i="1" s="1"/>
  <c r="G39" i="1" a="1"/>
  <c r="G39" i="1" s="1"/>
  <c r="G23" i="1" a="1"/>
  <c r="G23" i="1" s="1"/>
  <c r="G7" i="1" a="1"/>
  <c r="G7" i="1" s="1"/>
  <c r="G702" i="1" a="1"/>
  <c r="G702" i="1" s="1"/>
  <c r="G590" i="1" a="1"/>
  <c r="G590" i="1" s="1"/>
  <c r="G542" i="1" a="1"/>
  <c r="G542" i="1" s="1"/>
  <c r="G254" i="1" a="1"/>
  <c r="G254" i="1" s="1"/>
  <c r="G46" i="1" a="1"/>
  <c r="G46" i="1" s="1"/>
  <c r="G682" i="1" a="1"/>
  <c r="G682" i="1" s="1"/>
  <c r="G650" i="1" a="1"/>
  <c r="G650" i="1" s="1"/>
  <c r="G618" i="1" a="1"/>
  <c r="G618" i="1" s="1"/>
  <c r="G586" i="1" a="1"/>
  <c r="G586" i="1" s="1"/>
  <c r="G538" i="1" a="1"/>
  <c r="G538" i="1" s="1"/>
  <c r="G490" i="1" a="1"/>
  <c r="G490" i="1" s="1"/>
  <c r="G458" i="1" a="1"/>
  <c r="G458" i="1" s="1"/>
  <c r="G426" i="1" a="1"/>
  <c r="G426" i="1" s="1"/>
  <c r="G378" i="1" a="1"/>
  <c r="G378" i="1" s="1"/>
  <c r="G346" i="1" a="1"/>
  <c r="G346" i="1" s="1"/>
  <c r="G314" i="1" a="1"/>
  <c r="G314" i="1" s="1"/>
  <c r="G282" i="1" a="1"/>
  <c r="G282" i="1" s="1"/>
  <c r="G250" i="1" a="1"/>
  <c r="G250" i="1" s="1"/>
  <c r="G218" i="1" a="1"/>
  <c r="G218" i="1" s="1"/>
  <c r="G186" i="1" a="1"/>
  <c r="G186" i="1" s="1"/>
  <c r="G154" i="1" a="1"/>
  <c r="G154" i="1" s="1"/>
  <c r="G138" i="1" a="1"/>
  <c r="G138" i="1" s="1"/>
  <c r="G106" i="1" a="1"/>
  <c r="G106" i="1" s="1"/>
  <c r="G74" i="1" a="1"/>
  <c r="G74" i="1" s="1"/>
  <c r="G58" i="1" a="1"/>
  <c r="G58" i="1" s="1"/>
  <c r="G42" i="1" a="1"/>
  <c r="G42" i="1" s="1"/>
  <c r="G26" i="1" a="1"/>
  <c r="G26" i="1" s="1"/>
  <c r="G10" i="1" a="1"/>
  <c r="G10" i="1" s="1"/>
  <c r="G697" i="1" a="1"/>
  <c r="G697" i="1" s="1"/>
  <c r="G681" i="1" a="1"/>
  <c r="G681" i="1" s="1"/>
  <c r="G665" i="1" a="1"/>
  <c r="G665" i="1" s="1"/>
  <c r="G649" i="1" a="1"/>
  <c r="G649" i="1" s="1"/>
  <c r="G633" i="1" a="1"/>
  <c r="G633" i="1" s="1"/>
  <c r="G617" i="1" a="1"/>
  <c r="G617" i="1" s="1"/>
  <c r="G601" i="1" a="1"/>
  <c r="G601" i="1" s="1"/>
  <c r="G585" i="1" a="1"/>
  <c r="G585" i="1" s="1"/>
  <c r="G553" i="1" a="1"/>
  <c r="G553" i="1" s="1"/>
  <c r="G537" i="1" a="1"/>
  <c r="G537" i="1" s="1"/>
  <c r="G521" i="1" a="1"/>
  <c r="G521" i="1" s="1"/>
  <c r="G505" i="1" a="1"/>
  <c r="G505" i="1" s="1"/>
  <c r="G489" i="1" a="1"/>
  <c r="G489" i="1" s="1"/>
  <c r="G473" i="1" a="1"/>
  <c r="G473" i="1" s="1"/>
  <c r="G457" i="1" a="1"/>
  <c r="G457" i="1" s="1"/>
  <c r="G441" i="1" a="1"/>
  <c r="G441" i="1" s="1"/>
  <c r="G425" i="1" a="1"/>
  <c r="G425" i="1" s="1"/>
  <c r="G409" i="1" a="1"/>
  <c r="G409" i="1" s="1"/>
  <c r="G393" i="1" a="1"/>
  <c r="G393" i="1" s="1"/>
  <c r="G377" i="1" a="1"/>
  <c r="G377" i="1" s="1"/>
  <c r="G361" i="1" a="1"/>
  <c r="G361" i="1" s="1"/>
  <c r="G345" i="1" a="1"/>
  <c r="G345" i="1" s="1"/>
  <c r="G329" i="1" a="1"/>
  <c r="G329" i="1" s="1"/>
  <c r="G313" i="1" a="1"/>
  <c r="G313" i="1" s="1"/>
  <c r="G297" i="1" a="1"/>
  <c r="G297" i="1" s="1"/>
  <c r="G281" i="1" a="1"/>
  <c r="G281" i="1" s="1"/>
  <c r="G265" i="1" a="1"/>
  <c r="G265" i="1" s="1"/>
  <c r="G249" i="1" a="1"/>
  <c r="G249" i="1" s="1"/>
  <c r="G233" i="1" a="1"/>
  <c r="G233" i="1" s="1"/>
  <c r="G217" i="1" a="1"/>
  <c r="G217" i="1" s="1"/>
  <c r="G201" i="1" a="1"/>
  <c r="G201" i="1" s="1"/>
  <c r="G185" i="1" a="1"/>
  <c r="G185" i="1" s="1"/>
  <c r="G169" i="1" a="1"/>
  <c r="G169" i="1" s="1"/>
  <c r="G153" i="1" a="1"/>
  <c r="G153" i="1" s="1"/>
  <c r="G137" i="1" a="1"/>
  <c r="G137" i="1" s="1"/>
  <c r="G121" i="1" a="1"/>
  <c r="G121" i="1" s="1"/>
  <c r="G105" i="1" a="1"/>
  <c r="G105" i="1" s="1"/>
  <c r="G89" i="1" a="1"/>
  <c r="G89" i="1" s="1"/>
  <c r="G73" i="1" a="1"/>
  <c r="G73" i="1" s="1"/>
  <c r="G57" i="1" a="1"/>
  <c r="G57" i="1" s="1"/>
  <c r="G41" i="1" a="1"/>
  <c r="G41" i="1" s="1"/>
  <c r="G25" i="1" a="1"/>
  <c r="G25" i="1" s="1"/>
  <c r="G9" i="1" a="1"/>
  <c r="G9" i="1" s="1"/>
  <c r="G698" i="1" a="1"/>
  <c r="G698" i="1" s="1"/>
  <c r="G666" i="1" a="1"/>
  <c r="G666" i="1" s="1"/>
  <c r="G634" i="1" a="1"/>
  <c r="G634" i="1" s="1"/>
  <c r="G602" i="1" a="1"/>
  <c r="G602" i="1" s="1"/>
  <c r="G554" i="1" a="1"/>
  <c r="G554" i="1" s="1"/>
  <c r="G522" i="1" a="1"/>
  <c r="G522" i="1" s="1"/>
  <c r="G474" i="1" a="1"/>
  <c r="G474" i="1" s="1"/>
  <c r="G442" i="1" a="1"/>
  <c r="G442" i="1" s="1"/>
  <c r="G410" i="1" a="1"/>
  <c r="G410" i="1" s="1"/>
  <c r="G394" i="1" a="1"/>
  <c r="G394" i="1" s="1"/>
  <c r="G362" i="1" a="1"/>
  <c r="G362" i="1" s="1"/>
  <c r="G330" i="1" a="1"/>
  <c r="G330" i="1" s="1"/>
  <c r="G298" i="1" a="1"/>
  <c r="G298" i="1" s="1"/>
  <c r="G266" i="1" a="1"/>
  <c r="G266" i="1" s="1"/>
  <c r="G234" i="1" a="1"/>
  <c r="G234" i="1" s="1"/>
  <c r="G202" i="1" a="1"/>
  <c r="G202" i="1" s="1"/>
  <c r="G170" i="1" a="1"/>
  <c r="G170" i="1" s="1"/>
  <c r="G122" i="1" a="1"/>
  <c r="G122" i="1" s="1"/>
  <c r="G90" i="1" a="1"/>
  <c r="G90" i="1" s="1"/>
  <c r="G539" i="1" a="1"/>
  <c r="G539" i="1" s="1"/>
  <c r="G475" i="1" a="1"/>
  <c r="G475" i="1" s="1"/>
  <c r="G347" i="1" a="1"/>
  <c r="G347" i="1" s="1"/>
  <c r="G331" i="1" a="1"/>
  <c r="G331" i="1" s="1"/>
  <c r="G267" i="1" a="1"/>
  <c r="G267" i="1" s="1"/>
  <c r="G171" i="1" a="1"/>
  <c r="G171" i="1" s="1"/>
  <c r="G107" i="1" a="1"/>
  <c r="G107" i="1" s="1"/>
  <c r="G59" i="1" a="1"/>
  <c r="G59" i="1" s="1"/>
  <c r="G27" i="1" a="1"/>
  <c r="G27" i="1" s="1"/>
  <c r="G680" i="1" a="1"/>
  <c r="G680" i="1" s="1"/>
  <c r="G664" i="1" a="1"/>
  <c r="G664" i="1" s="1"/>
  <c r="G648" i="1" a="1"/>
  <c r="G648" i="1" s="1"/>
  <c r="G632" i="1" a="1"/>
  <c r="G632" i="1" s="1"/>
  <c r="G616" i="1" a="1"/>
  <c r="G616" i="1" s="1"/>
  <c r="G600" i="1" a="1"/>
  <c r="G600" i="1" s="1"/>
  <c r="G584" i="1" a="1"/>
  <c r="G584" i="1" s="1"/>
  <c r="G568" i="1" a="1"/>
  <c r="G568" i="1" s="1"/>
  <c r="G552" i="1" a="1"/>
  <c r="G552" i="1" s="1"/>
  <c r="G536" i="1" a="1"/>
  <c r="G536" i="1" s="1"/>
  <c r="G520" i="1" a="1"/>
  <c r="G520" i="1" s="1"/>
  <c r="G504" i="1" a="1"/>
  <c r="G504" i="1" s="1"/>
  <c r="G472" i="1" a="1"/>
  <c r="G472" i="1" s="1"/>
  <c r="G456" i="1" a="1"/>
  <c r="G456" i="1" s="1"/>
  <c r="G440" i="1" a="1"/>
  <c r="G440" i="1" s="1"/>
  <c r="G424" i="1" a="1"/>
  <c r="G424" i="1" s="1"/>
  <c r="G392" i="1" a="1"/>
  <c r="G392" i="1" s="1"/>
  <c r="G376" i="1" a="1"/>
  <c r="G376" i="1" s="1"/>
  <c r="G360" i="1" a="1"/>
  <c r="G360" i="1" s="1"/>
  <c r="G344" i="1" a="1"/>
  <c r="G344" i="1" s="1"/>
  <c r="G328" i="1" a="1"/>
  <c r="G328" i="1" s="1"/>
  <c r="G312" i="1" a="1"/>
  <c r="G312" i="1" s="1"/>
  <c r="G296" i="1" a="1"/>
  <c r="G296" i="1" s="1"/>
  <c r="G264" i="1" a="1"/>
  <c r="G264" i="1" s="1"/>
  <c r="G248" i="1" a="1"/>
  <c r="G248" i="1" s="1"/>
  <c r="G232" i="1" a="1"/>
  <c r="G232" i="1" s="1"/>
  <c r="G216" i="1" a="1"/>
  <c r="G216" i="1" s="1"/>
  <c r="G200" i="1" a="1"/>
  <c r="G200" i="1" s="1"/>
  <c r="G184" i="1" a="1"/>
  <c r="G184" i="1" s="1"/>
  <c r="G168" i="1" a="1"/>
  <c r="G168" i="1" s="1"/>
  <c r="G152" i="1" a="1"/>
  <c r="G152" i="1" s="1"/>
  <c r="G136" i="1" a="1"/>
  <c r="G136" i="1" s="1"/>
  <c r="G120" i="1" a="1"/>
  <c r="G120" i="1" s="1"/>
  <c r="G104" i="1" a="1"/>
  <c r="G104" i="1" s="1"/>
  <c r="G88" i="1" a="1"/>
  <c r="G88" i="1" s="1"/>
  <c r="G72" i="1" a="1"/>
  <c r="G72" i="1" s="1"/>
  <c r="G56" i="1" a="1"/>
  <c r="G56" i="1" s="1"/>
  <c r="G40" i="1" a="1"/>
  <c r="G40" i="1" s="1"/>
  <c r="G24" i="1" a="1"/>
  <c r="G24" i="1" s="1"/>
  <c r="G8" i="1" a="1"/>
  <c r="G8" i="1" s="1"/>
  <c r="G644" i="1" a="1"/>
  <c r="G644" i="1" s="1"/>
  <c r="G628" i="1" a="1"/>
  <c r="G628" i="1" s="1"/>
  <c r="G612" i="1" a="1"/>
  <c r="G612" i="1" s="1"/>
  <c r="G564" i="1" a="1"/>
  <c r="G564" i="1" s="1"/>
  <c r="G548" i="1" a="1"/>
  <c r="G548" i="1" s="1"/>
  <c r="G500" i="1" a="1"/>
  <c r="G500" i="1" s="1"/>
  <c r="G468" i="1" a="1"/>
  <c r="G468" i="1" s="1"/>
  <c r="G436" i="1" a="1"/>
  <c r="G436" i="1" s="1"/>
  <c r="G404" i="1" a="1"/>
  <c r="G404" i="1" s="1"/>
  <c r="G372" i="1" a="1"/>
  <c r="G372" i="1" s="1"/>
  <c r="G340" i="1" a="1"/>
  <c r="G340" i="1" s="1"/>
  <c r="G276" i="1" a="1"/>
  <c r="G276" i="1" s="1"/>
  <c r="G228" i="1" a="1"/>
  <c r="G228" i="1" s="1"/>
  <c r="G196" i="1" a="1"/>
  <c r="G196" i="1" s="1"/>
  <c r="G164" i="1" a="1"/>
  <c r="G164" i="1" s="1"/>
  <c r="G132" i="1" a="1"/>
  <c r="G132" i="1" s="1"/>
  <c r="G68" i="1" a="1"/>
  <c r="G68" i="1" s="1"/>
  <c r="G20" i="1" a="1"/>
  <c r="G20" i="1" s="1"/>
  <c r="G4" i="1" a="1"/>
  <c r="G4" i="1" s="1"/>
  <c r="G690" i="1" a="1"/>
  <c r="G690" i="1" s="1"/>
  <c r="G658" i="1" a="1"/>
  <c r="G658" i="1" s="1"/>
  <c r="G626" i="1" a="1"/>
  <c r="G626" i="1" s="1"/>
  <c r="G610" i="1" a="1"/>
  <c r="G610" i="1" s="1"/>
  <c r="G594" i="1" a="1"/>
  <c r="G594" i="1" s="1"/>
  <c r="G546" i="1" a="1"/>
  <c r="G546" i="1" s="1"/>
  <c r="G530" i="1" a="1"/>
  <c r="G530" i="1" s="1"/>
  <c r="G482" i="1" a="1"/>
  <c r="G482" i="1" s="1"/>
  <c r="G450" i="1" a="1"/>
  <c r="G450" i="1" s="1"/>
  <c r="G418" i="1" a="1"/>
  <c r="G418" i="1" s="1"/>
  <c r="G386" i="1" a="1"/>
  <c r="G386" i="1" s="1"/>
  <c r="G322" i="1" a="1"/>
  <c r="G322" i="1" s="1"/>
  <c r="G258" i="1" a="1"/>
  <c r="G258" i="1" s="1"/>
  <c r="G242" i="1" a="1"/>
  <c r="G242" i="1" s="1"/>
  <c r="G210" i="1" a="1"/>
  <c r="G210" i="1" s="1"/>
  <c r="G178" i="1" a="1"/>
  <c r="G178" i="1" s="1"/>
  <c r="G146" i="1" a="1"/>
  <c r="G146" i="1" s="1"/>
  <c r="G114" i="1" a="1"/>
  <c r="G114" i="1" s="1"/>
  <c r="G50" i="1" a="1"/>
  <c r="G50" i="1" s="1"/>
  <c r="G686" i="1" a="1"/>
  <c r="G686" i="1" s="1"/>
  <c r="G574" i="1" a="1"/>
  <c r="G574" i="1" s="1"/>
  <c r="G510" i="1" a="1"/>
  <c r="G510" i="1" s="1"/>
  <c r="G478" i="1" a="1"/>
  <c r="G478" i="1" s="1"/>
  <c r="G382" i="1" a="1"/>
  <c r="G382" i="1" s="1"/>
  <c r="G350" i="1" a="1"/>
  <c r="G350" i="1" s="1"/>
  <c r="G286" i="1" a="1"/>
  <c r="G286" i="1" s="1"/>
  <c r="G238" i="1" a="1"/>
  <c r="G238" i="1" s="1"/>
  <c r="G174" i="1" a="1"/>
  <c r="G174" i="1" s="1"/>
  <c r="G110" i="1" a="1"/>
  <c r="G110" i="1" s="1"/>
  <c r="G78" i="1" a="1"/>
  <c r="G78" i="1" s="1"/>
  <c r="G14" i="1" a="1"/>
  <c r="G14" i="1" s="1"/>
  <c r="G701" i="1" a="1"/>
  <c r="G701" i="1" s="1"/>
  <c r="G685" i="1" a="1"/>
  <c r="G685" i="1" s="1"/>
  <c r="G637" i="1" a="1"/>
  <c r="G637" i="1" s="1"/>
  <c r="G605" i="1" a="1"/>
  <c r="G605" i="1" s="1"/>
  <c r="G573" i="1" a="1"/>
  <c r="G573" i="1" s="1"/>
  <c r="G541" i="1" a="1"/>
  <c r="G541" i="1" s="1"/>
  <c r="G509" i="1" a="1"/>
  <c r="G509" i="1" s="1"/>
  <c r="G493" i="1" a="1"/>
  <c r="G493" i="1" s="1"/>
  <c r="G477" i="1" a="1"/>
  <c r="G477" i="1" s="1"/>
  <c r="G413" i="1" a="1"/>
  <c r="G413" i="1" s="1"/>
  <c r="G365" i="1" a="1"/>
  <c r="G365" i="1" s="1"/>
  <c r="G333" i="1" a="1"/>
  <c r="G333" i="1" s="1"/>
  <c r="G301" i="1" a="1"/>
  <c r="G301" i="1" s="1"/>
  <c r="G269" i="1" a="1"/>
  <c r="G269" i="1" s="1"/>
  <c r="G237" i="1" a="1"/>
  <c r="G237" i="1" s="1"/>
  <c r="G205" i="1" a="1"/>
  <c r="G205" i="1" s="1"/>
  <c r="G141" i="1" a="1"/>
  <c r="G141" i="1" s="1"/>
  <c r="G93" i="1" a="1"/>
  <c r="G93" i="1" s="1"/>
  <c r="G61" i="1" a="1"/>
  <c r="G61" i="1" s="1"/>
  <c r="G29" i="1" a="1"/>
  <c r="G29" i="1" s="1"/>
  <c r="G13" i="1" a="1"/>
  <c r="G13" i="1" s="1"/>
  <c r="G654" i="1" a="1"/>
  <c r="G654" i="1" s="1"/>
  <c r="G622" i="1" a="1"/>
  <c r="G622" i="1" s="1"/>
  <c r="G558" i="1" a="1"/>
  <c r="G558" i="1" s="1"/>
  <c r="G446" i="1" a="1"/>
  <c r="G446" i="1" s="1"/>
  <c r="G414" i="1" a="1"/>
  <c r="G414" i="1" s="1"/>
  <c r="G366" i="1" a="1"/>
  <c r="G366" i="1" s="1"/>
  <c r="G302" i="1" a="1"/>
  <c r="G302" i="1" s="1"/>
  <c r="G206" i="1" a="1"/>
  <c r="G206" i="1" s="1"/>
  <c r="G142" i="1" a="1"/>
  <c r="G142" i="1" s="1"/>
  <c r="G94" i="1" a="1"/>
  <c r="G94" i="1" s="1"/>
  <c r="G30" i="1" a="1"/>
  <c r="G30" i="1" s="1"/>
  <c r="G700" i="1" a="1"/>
  <c r="G700" i="1" s="1"/>
  <c r="G668" i="1" a="1"/>
  <c r="G668" i="1" s="1"/>
  <c r="G636" i="1" a="1"/>
  <c r="G636" i="1" s="1"/>
  <c r="G604" i="1" a="1"/>
  <c r="G604" i="1" s="1"/>
  <c r="G572" i="1" a="1"/>
  <c r="G572" i="1" s="1"/>
  <c r="G556" i="1" a="1"/>
  <c r="G556" i="1" s="1"/>
  <c r="G540" i="1" a="1"/>
  <c r="G540" i="1" s="1"/>
  <c r="G508" i="1" a="1"/>
  <c r="G508" i="1" s="1"/>
  <c r="G460" i="1" a="1"/>
  <c r="G460" i="1" s="1"/>
  <c r="G428" i="1" a="1"/>
  <c r="G428" i="1" s="1"/>
  <c r="G396" i="1" a="1"/>
  <c r="G396" i="1" s="1"/>
  <c r="G364" i="1" a="1"/>
  <c r="G364" i="1" s="1"/>
  <c r="G348" i="1" a="1"/>
  <c r="G348" i="1" s="1"/>
  <c r="G332" i="1" a="1"/>
  <c r="G332" i="1" s="1"/>
  <c r="G300" i="1" a="1"/>
  <c r="G300" i="1" s="1"/>
  <c r="G284" i="1" a="1"/>
  <c r="G284" i="1" s="1"/>
  <c r="G268" i="1" a="1"/>
  <c r="G268" i="1" s="1"/>
  <c r="G220" i="1" a="1"/>
  <c r="G220" i="1" s="1"/>
  <c r="G188" i="1" a="1"/>
  <c r="G188" i="1" s="1"/>
  <c r="G156" i="1" a="1"/>
  <c r="G156" i="1" s="1"/>
  <c r="G124" i="1" a="1"/>
  <c r="G124" i="1" s="1"/>
  <c r="G92" i="1" a="1"/>
  <c r="G92" i="1" s="1"/>
  <c r="G76" i="1" a="1"/>
  <c r="G76" i="1" s="1"/>
  <c r="G60" i="1" a="1"/>
  <c r="G60" i="1" s="1"/>
  <c r="G28" i="1" a="1"/>
  <c r="G28" i="1" s="1"/>
  <c r="G3" i="1" a="1"/>
  <c r="G3" i="1" s="1"/>
  <c r="G675" i="1" a="1"/>
  <c r="G675" i="1" s="1"/>
  <c r="G595" i="1" a="1"/>
  <c r="G595" i="1" s="1"/>
  <c r="G499" i="1" a="1"/>
  <c r="G499" i="1" s="1"/>
  <c r="G403" i="1" a="1"/>
  <c r="G403" i="1" s="1"/>
  <c r="G291" i="1" a="1"/>
  <c r="G291" i="1" s="1"/>
  <c r="G131" i="1" a="1"/>
  <c r="G131" i="1" s="1"/>
  <c r="G83" i="1" a="1"/>
  <c r="G83" i="1" s="1"/>
  <c r="G19" i="1" a="1"/>
  <c r="G19" i="1" s="1"/>
  <c r="G691" i="1" a="1"/>
  <c r="G691" i="1" s="1"/>
  <c r="G627" i="1" a="1"/>
  <c r="G627" i="1" s="1"/>
  <c r="G563" i="1" a="1"/>
  <c r="G563" i="1" s="1"/>
  <c r="G531" i="1" a="1"/>
  <c r="G531" i="1" s="1"/>
  <c r="G467" i="1" a="1"/>
  <c r="G467" i="1" s="1"/>
  <c r="G355" i="1" a="1"/>
  <c r="G355" i="1" s="1"/>
  <c r="G323" i="1" a="1"/>
  <c r="G323" i="1" s="1"/>
  <c r="G259" i="1" a="1"/>
  <c r="G259" i="1" s="1"/>
  <c r="G195" i="1" a="1"/>
  <c r="G195" i="1" s="1"/>
  <c r="G115" i="1" a="1"/>
  <c r="G115" i="1" s="1"/>
  <c r="G51" i="1" a="1"/>
  <c r="G51" i="1" s="1"/>
  <c r="S636" i="1" l="1"/>
  <c r="N636" i="1"/>
  <c r="L636" i="1"/>
  <c r="M636" i="1"/>
  <c r="O636" i="1"/>
  <c r="S658" i="1"/>
  <c r="N658" i="1"/>
  <c r="L658" i="1"/>
  <c r="M658" i="1"/>
  <c r="O658" i="1"/>
  <c r="S171" i="1"/>
  <c r="O171" i="1"/>
  <c r="M171" i="1"/>
  <c r="N171" i="1"/>
  <c r="L171" i="1"/>
  <c r="S649" i="1"/>
  <c r="O649" i="1"/>
  <c r="M649" i="1"/>
  <c r="N649" i="1"/>
  <c r="L649" i="1"/>
  <c r="S65" i="1"/>
  <c r="L65" i="1"/>
  <c r="M65" i="1"/>
  <c r="O65" i="1"/>
  <c r="N65" i="1"/>
  <c r="S325" i="1"/>
  <c r="O325" i="1"/>
  <c r="M325" i="1"/>
  <c r="N325" i="1"/>
  <c r="L325" i="1"/>
  <c r="S476" i="1"/>
  <c r="N476" i="1"/>
  <c r="L476" i="1"/>
  <c r="O476" i="1"/>
  <c r="M476" i="1"/>
  <c r="S427" i="1"/>
  <c r="O427" i="1"/>
  <c r="M427" i="1"/>
  <c r="N427" i="1"/>
  <c r="L427" i="1"/>
  <c r="S70" i="1"/>
  <c r="O70" i="1"/>
  <c r="M70" i="1"/>
  <c r="L70" i="1"/>
  <c r="N70" i="1"/>
  <c r="S668" i="1"/>
  <c r="N668" i="1"/>
  <c r="L668" i="1"/>
  <c r="M668" i="1"/>
  <c r="O668" i="1"/>
  <c r="S690" i="1"/>
  <c r="M690" i="1"/>
  <c r="N690" i="1"/>
  <c r="L690" i="1"/>
  <c r="O690" i="1"/>
  <c r="S267" i="1"/>
  <c r="O267" i="1"/>
  <c r="M267" i="1"/>
  <c r="N267" i="1"/>
  <c r="L267" i="1"/>
  <c r="S665" i="1"/>
  <c r="O665" i="1"/>
  <c r="M665" i="1"/>
  <c r="N665" i="1"/>
  <c r="L665" i="1"/>
  <c r="S551" i="1"/>
  <c r="N551" i="1"/>
  <c r="O551" i="1"/>
  <c r="M551" i="1"/>
  <c r="L551" i="1"/>
  <c r="S77" i="1"/>
  <c r="N77" i="1"/>
  <c r="M77" i="1"/>
  <c r="O77" i="1"/>
  <c r="L77" i="1"/>
  <c r="S158" i="1"/>
  <c r="N158" i="1"/>
  <c r="O158" i="1"/>
  <c r="L158" i="1"/>
  <c r="M158" i="1"/>
  <c r="S75" i="1"/>
  <c r="O75" i="1"/>
  <c r="N75" i="1"/>
  <c r="M75" i="1"/>
  <c r="L75" i="1"/>
  <c r="S34" i="1"/>
  <c r="O34" i="1"/>
  <c r="N34" i="1"/>
  <c r="L34" i="1"/>
  <c r="M34" i="1"/>
  <c r="S303" i="1"/>
  <c r="N303" i="1"/>
  <c r="L303" i="1"/>
  <c r="O303" i="1"/>
  <c r="M303" i="1"/>
  <c r="S700" i="1"/>
  <c r="L700" i="1"/>
  <c r="O700" i="1"/>
  <c r="N700" i="1"/>
  <c r="M700" i="1"/>
  <c r="S4" i="1"/>
  <c r="L4" i="1"/>
  <c r="M4" i="1"/>
  <c r="N4" i="1"/>
  <c r="O4" i="1"/>
  <c r="S331" i="1"/>
  <c r="O331" i="1"/>
  <c r="M331" i="1"/>
  <c r="L331" i="1"/>
  <c r="N331" i="1"/>
  <c r="S681" i="1"/>
  <c r="O681" i="1"/>
  <c r="M681" i="1"/>
  <c r="N681" i="1"/>
  <c r="L681" i="1"/>
  <c r="S567" i="1"/>
  <c r="O567" i="1"/>
  <c r="M567" i="1"/>
  <c r="N567" i="1"/>
  <c r="L567" i="1"/>
  <c r="S157" i="1"/>
  <c r="N157" i="1"/>
  <c r="L157" i="1"/>
  <c r="O157" i="1"/>
  <c r="M157" i="1"/>
  <c r="S270" i="1"/>
  <c r="N270" i="1"/>
  <c r="O270" i="1"/>
  <c r="L270" i="1"/>
  <c r="M270" i="1"/>
  <c r="S91" i="1"/>
  <c r="O91" i="1"/>
  <c r="N91" i="1"/>
  <c r="L91" i="1"/>
  <c r="M91" i="1"/>
  <c r="S102" i="1"/>
  <c r="N102" i="1"/>
  <c r="L102" i="1"/>
  <c r="O102" i="1"/>
  <c r="M102" i="1"/>
  <c r="S160" i="1"/>
  <c r="O160" i="1"/>
  <c r="N160" i="1"/>
  <c r="L160" i="1"/>
  <c r="M160" i="1"/>
  <c r="S284" i="1"/>
  <c r="N284" i="1"/>
  <c r="L284" i="1"/>
  <c r="O284" i="1"/>
  <c r="M284" i="1"/>
  <c r="S210" i="1"/>
  <c r="N210" i="1"/>
  <c r="M210" i="1"/>
  <c r="O210" i="1"/>
  <c r="L210" i="1"/>
  <c r="S536" i="1"/>
  <c r="O536" i="1"/>
  <c r="M536" i="1"/>
  <c r="L536" i="1"/>
  <c r="N536" i="1"/>
  <c r="S425" i="1"/>
  <c r="O425" i="1"/>
  <c r="M425" i="1"/>
  <c r="N425" i="1"/>
  <c r="L425" i="1"/>
  <c r="S311" i="1"/>
  <c r="O311" i="1"/>
  <c r="N311" i="1"/>
  <c r="M311" i="1"/>
  <c r="L311" i="1"/>
  <c r="S657" i="1"/>
  <c r="N657" i="1"/>
  <c r="L657" i="1"/>
  <c r="O657" i="1"/>
  <c r="M657" i="1"/>
  <c r="S469" i="1"/>
  <c r="M469" i="1"/>
  <c r="O469" i="1"/>
  <c r="N469" i="1"/>
  <c r="L469" i="1"/>
  <c r="S354" i="1"/>
  <c r="O354" i="1"/>
  <c r="M354" i="1"/>
  <c r="N354" i="1"/>
  <c r="L354" i="1"/>
  <c r="S18" i="1"/>
  <c r="O18" i="1"/>
  <c r="L18" i="1"/>
  <c r="M18" i="1"/>
  <c r="N18" i="1"/>
  <c r="S630" i="1"/>
  <c r="N630" i="1"/>
  <c r="O630" i="1"/>
  <c r="M630" i="1"/>
  <c r="L630" i="1"/>
  <c r="S237" i="1"/>
  <c r="N237" i="1"/>
  <c r="L237" i="1"/>
  <c r="M237" i="1"/>
  <c r="O237" i="1"/>
  <c r="S644" i="1"/>
  <c r="M644" i="1"/>
  <c r="O644" i="1"/>
  <c r="L644" i="1"/>
  <c r="N644" i="1"/>
  <c r="S554" i="1"/>
  <c r="O554" i="1"/>
  <c r="L554" i="1"/>
  <c r="N554" i="1"/>
  <c r="M554" i="1"/>
  <c r="S458" i="1"/>
  <c r="O458" i="1"/>
  <c r="L458" i="1"/>
  <c r="N458" i="1"/>
  <c r="M458" i="1"/>
  <c r="S129" i="1"/>
  <c r="M129" i="1"/>
  <c r="O129" i="1"/>
  <c r="N129" i="1"/>
  <c r="L129" i="1"/>
  <c r="S453" i="1"/>
  <c r="L453" i="1"/>
  <c r="N453" i="1"/>
  <c r="O453" i="1"/>
  <c r="M453" i="1"/>
  <c r="S620" i="1"/>
  <c r="N620" i="1"/>
  <c r="L620" i="1"/>
  <c r="O620" i="1"/>
  <c r="M620" i="1"/>
  <c r="S635" i="1"/>
  <c r="O635" i="1"/>
  <c r="N635" i="1"/>
  <c r="M635" i="1"/>
  <c r="L635" i="1"/>
  <c r="S646" i="1"/>
  <c r="M646" i="1"/>
  <c r="O646" i="1"/>
  <c r="N646" i="1"/>
  <c r="L646" i="1"/>
  <c r="S403" i="1"/>
  <c r="N403" i="1"/>
  <c r="L403" i="1"/>
  <c r="M403" i="1"/>
  <c r="O403" i="1"/>
  <c r="S110" i="1"/>
  <c r="N110" i="1"/>
  <c r="M110" i="1"/>
  <c r="L110" i="1"/>
  <c r="O110" i="1"/>
  <c r="S264" i="1"/>
  <c r="O264" i="1"/>
  <c r="M264" i="1"/>
  <c r="L264" i="1"/>
  <c r="N264" i="1"/>
  <c r="S201" i="1"/>
  <c r="O201" i="1"/>
  <c r="L201" i="1"/>
  <c r="M201" i="1"/>
  <c r="N201" i="1"/>
  <c r="S87" i="1"/>
  <c r="L87" i="1"/>
  <c r="M87" i="1"/>
  <c r="N87" i="1"/>
  <c r="O87" i="1"/>
  <c r="S145" i="1"/>
  <c r="M145" i="1"/>
  <c r="N145" i="1"/>
  <c r="L145" i="1"/>
  <c r="O145" i="1"/>
  <c r="S501" i="1"/>
  <c r="O501" i="1"/>
  <c r="N501" i="1"/>
  <c r="L501" i="1"/>
  <c r="M501" i="1"/>
  <c r="S652" i="1"/>
  <c r="N652" i="1"/>
  <c r="O652" i="1"/>
  <c r="L652" i="1"/>
  <c r="M652" i="1"/>
  <c r="S642" i="1"/>
  <c r="N642" i="1"/>
  <c r="O642" i="1"/>
  <c r="M642" i="1"/>
  <c r="L642" i="1"/>
  <c r="S662" i="1"/>
  <c r="O662" i="1"/>
  <c r="N662" i="1"/>
  <c r="M662" i="1"/>
  <c r="L662" i="1"/>
  <c r="S206" i="1"/>
  <c r="N206" i="1"/>
  <c r="L206" i="1"/>
  <c r="M206" i="1"/>
  <c r="O206" i="1"/>
  <c r="S164" i="1"/>
  <c r="N164" i="1"/>
  <c r="M164" i="1"/>
  <c r="O164" i="1"/>
  <c r="L164" i="1"/>
  <c r="S584" i="1"/>
  <c r="O584" i="1"/>
  <c r="M584" i="1"/>
  <c r="N584" i="1"/>
  <c r="L584" i="1"/>
  <c r="S473" i="1"/>
  <c r="O473" i="1"/>
  <c r="M473" i="1"/>
  <c r="N473" i="1"/>
  <c r="L473" i="1"/>
  <c r="S359" i="1"/>
  <c r="N359" i="1"/>
  <c r="L359" i="1"/>
  <c r="O359" i="1"/>
  <c r="M359" i="1"/>
  <c r="S82" i="1"/>
  <c r="N82" i="1"/>
  <c r="L82" i="1"/>
  <c r="O82" i="1"/>
  <c r="M82" i="1"/>
  <c r="S565" i="1"/>
  <c r="O565" i="1"/>
  <c r="M565" i="1"/>
  <c r="L565" i="1"/>
  <c r="N565" i="1"/>
  <c r="S227" i="1"/>
  <c r="M227" i="1"/>
  <c r="O227" i="1"/>
  <c r="N227" i="1"/>
  <c r="L227" i="1"/>
  <c r="S99" i="1"/>
  <c r="M99" i="1"/>
  <c r="O99" i="1"/>
  <c r="N99" i="1"/>
  <c r="L99" i="1"/>
  <c r="S422" i="1"/>
  <c r="L422" i="1"/>
  <c r="N422" i="1"/>
  <c r="M422" i="1"/>
  <c r="O422" i="1"/>
  <c r="S595" i="1"/>
  <c r="N595" i="1"/>
  <c r="L595" i="1"/>
  <c r="O595" i="1"/>
  <c r="M595" i="1"/>
  <c r="S333" i="1"/>
  <c r="N333" i="1"/>
  <c r="O333" i="1"/>
  <c r="L333" i="1"/>
  <c r="M333" i="1"/>
  <c r="S40" i="1"/>
  <c r="O40" i="1"/>
  <c r="M40" i="1"/>
  <c r="N40" i="1"/>
  <c r="L40" i="1"/>
  <c r="S666" i="1"/>
  <c r="O666" i="1"/>
  <c r="M666" i="1"/>
  <c r="N666" i="1"/>
  <c r="L666" i="1"/>
  <c r="S119" i="1"/>
  <c r="O119" i="1"/>
  <c r="N119" i="1"/>
  <c r="M119" i="1"/>
  <c r="L119" i="1"/>
  <c r="S290" i="1"/>
  <c r="M290" i="1"/>
  <c r="N290" i="1"/>
  <c r="O290" i="1"/>
  <c r="L290" i="1"/>
  <c r="S597" i="1"/>
  <c r="L597" i="1"/>
  <c r="O597" i="1"/>
  <c r="N597" i="1"/>
  <c r="M597" i="1"/>
  <c r="S451" i="1"/>
  <c r="M451" i="1"/>
  <c r="N451" i="1"/>
  <c r="L451" i="1"/>
  <c r="O451" i="1"/>
  <c r="S179" i="1"/>
  <c r="M179" i="1"/>
  <c r="N179" i="1"/>
  <c r="O179" i="1"/>
  <c r="L179" i="1"/>
  <c r="S694" i="1"/>
  <c r="L694" i="1"/>
  <c r="O694" i="1"/>
  <c r="M694" i="1"/>
  <c r="N694" i="1"/>
  <c r="S396" i="1"/>
  <c r="N396" i="1"/>
  <c r="O396" i="1"/>
  <c r="L396" i="1"/>
  <c r="M396" i="1"/>
  <c r="S418" i="1"/>
  <c r="L418" i="1"/>
  <c r="N418" i="1"/>
  <c r="O418" i="1"/>
  <c r="M418" i="1"/>
  <c r="S616" i="1"/>
  <c r="O616" i="1"/>
  <c r="M616" i="1"/>
  <c r="L616" i="1"/>
  <c r="N616" i="1"/>
  <c r="S505" i="1"/>
  <c r="O505" i="1"/>
  <c r="N505" i="1"/>
  <c r="M505" i="1"/>
  <c r="L505" i="1"/>
  <c r="S391" i="1"/>
  <c r="N391" i="1"/>
  <c r="M391" i="1"/>
  <c r="L391" i="1"/>
  <c r="O391" i="1"/>
  <c r="S466" i="1"/>
  <c r="O466" i="1"/>
  <c r="M466" i="1"/>
  <c r="N466" i="1"/>
  <c r="L466" i="1"/>
  <c r="S629" i="1"/>
  <c r="O629" i="1"/>
  <c r="M629" i="1"/>
  <c r="N629" i="1"/>
  <c r="L629" i="1"/>
  <c r="S515" i="1"/>
  <c r="O515" i="1"/>
  <c r="M515" i="1"/>
  <c r="L515" i="1"/>
  <c r="N515" i="1"/>
  <c r="S211" i="1"/>
  <c r="M211" i="1"/>
  <c r="N211" i="1"/>
  <c r="O211" i="1"/>
  <c r="L211" i="1"/>
  <c r="S235" i="1"/>
  <c r="O235" i="1"/>
  <c r="N235" i="1"/>
  <c r="M235" i="1"/>
  <c r="L235" i="1"/>
  <c r="S414" i="1"/>
  <c r="N414" i="1"/>
  <c r="O414" i="1"/>
  <c r="M414" i="1"/>
  <c r="L414" i="1"/>
  <c r="S72" i="1"/>
  <c r="O72" i="1"/>
  <c r="N72" i="1"/>
  <c r="M72" i="1"/>
  <c r="L72" i="1"/>
  <c r="S9" i="1"/>
  <c r="O9" i="1"/>
  <c r="M9" i="1"/>
  <c r="N9" i="1"/>
  <c r="L9" i="1"/>
  <c r="S151" i="1"/>
  <c r="M151" i="1"/>
  <c r="O151" i="1"/>
  <c r="N151" i="1"/>
  <c r="L151" i="1"/>
  <c r="S481" i="1"/>
  <c r="O481" i="1"/>
  <c r="L481" i="1"/>
  <c r="M481" i="1"/>
  <c r="N481" i="1"/>
  <c r="S661" i="1"/>
  <c r="N661" i="1"/>
  <c r="O661" i="1"/>
  <c r="M661" i="1"/>
  <c r="L661" i="1"/>
  <c r="S611" i="1"/>
  <c r="O611" i="1"/>
  <c r="N611" i="1"/>
  <c r="M611" i="1"/>
  <c r="L611" i="1"/>
  <c r="S243" i="1"/>
  <c r="M243" i="1"/>
  <c r="L243" i="1"/>
  <c r="O243" i="1"/>
  <c r="N243" i="1"/>
  <c r="S470" i="1"/>
  <c r="N470" i="1"/>
  <c r="M470" i="1"/>
  <c r="O470" i="1"/>
  <c r="L470" i="1"/>
  <c r="S446" i="1"/>
  <c r="N446" i="1"/>
  <c r="O446" i="1"/>
  <c r="L446" i="1"/>
  <c r="M446" i="1"/>
  <c r="S340" i="1"/>
  <c r="N340" i="1"/>
  <c r="L340" i="1"/>
  <c r="O340" i="1"/>
  <c r="M340" i="1"/>
  <c r="S234" i="1"/>
  <c r="O234" i="1"/>
  <c r="M234" i="1"/>
  <c r="N234" i="1"/>
  <c r="L234" i="1"/>
  <c r="S138" i="1"/>
  <c r="O138" i="1"/>
  <c r="M138" i="1"/>
  <c r="L138" i="1"/>
  <c r="N138" i="1"/>
  <c r="S695" i="1"/>
  <c r="O695" i="1"/>
  <c r="N695" i="1"/>
  <c r="L695" i="1"/>
  <c r="M695" i="1"/>
  <c r="S117" i="1"/>
  <c r="O117" i="1"/>
  <c r="N117" i="1"/>
  <c r="M117" i="1"/>
  <c r="L117" i="1"/>
  <c r="S491" i="1"/>
  <c r="O491" i="1"/>
  <c r="M491" i="1"/>
  <c r="N491" i="1"/>
  <c r="L491" i="1"/>
  <c r="S643" i="1"/>
  <c r="O643" i="1"/>
  <c r="M643" i="1"/>
  <c r="N643" i="1"/>
  <c r="L643" i="1"/>
  <c r="S486" i="1"/>
  <c r="O486" i="1"/>
  <c r="M486" i="1"/>
  <c r="L486" i="1"/>
  <c r="N486" i="1"/>
  <c r="S60" i="1"/>
  <c r="N60" i="1"/>
  <c r="M60" i="1"/>
  <c r="L60" i="1"/>
  <c r="O60" i="1"/>
  <c r="S478" i="1"/>
  <c r="N478" i="1"/>
  <c r="L478" i="1"/>
  <c r="O478" i="1"/>
  <c r="M478" i="1"/>
  <c r="S376" i="1"/>
  <c r="O376" i="1"/>
  <c r="N376" i="1"/>
  <c r="M376" i="1"/>
  <c r="L376" i="1"/>
  <c r="S297" i="1"/>
  <c r="O297" i="1"/>
  <c r="M297" i="1"/>
  <c r="L297" i="1"/>
  <c r="N297" i="1"/>
  <c r="S183" i="1"/>
  <c r="O183" i="1"/>
  <c r="M183" i="1"/>
  <c r="L183" i="1"/>
  <c r="N183" i="1"/>
  <c r="S513" i="1"/>
  <c r="O513" i="1"/>
  <c r="L513" i="1"/>
  <c r="N513" i="1"/>
  <c r="M513" i="1"/>
  <c r="S229" i="1"/>
  <c r="N229" i="1"/>
  <c r="M229" i="1"/>
  <c r="L229" i="1"/>
  <c r="O229" i="1"/>
  <c r="S507" i="1"/>
  <c r="O507" i="1"/>
  <c r="N507" i="1"/>
  <c r="M507" i="1"/>
  <c r="L507" i="1"/>
  <c r="S52" i="1"/>
  <c r="O52" i="1"/>
  <c r="N52" i="1"/>
  <c r="M52" i="1"/>
  <c r="L52" i="1"/>
  <c r="S502" i="1"/>
  <c r="N502" i="1"/>
  <c r="O502" i="1"/>
  <c r="L502" i="1"/>
  <c r="M502" i="1"/>
  <c r="S467" i="1"/>
  <c r="N467" i="1"/>
  <c r="M467" i="1"/>
  <c r="O467" i="1"/>
  <c r="L467" i="1"/>
  <c r="S76" i="1"/>
  <c r="N76" i="1"/>
  <c r="O76" i="1"/>
  <c r="L76" i="1"/>
  <c r="M76" i="1"/>
  <c r="S540" i="1"/>
  <c r="N540" i="1"/>
  <c r="L540" i="1"/>
  <c r="O540" i="1"/>
  <c r="M540" i="1"/>
  <c r="S622" i="1"/>
  <c r="N622" i="1"/>
  <c r="O622" i="1"/>
  <c r="L622" i="1"/>
  <c r="M622" i="1"/>
  <c r="S509" i="1"/>
  <c r="N509" i="1"/>
  <c r="L509" i="1"/>
  <c r="M509" i="1"/>
  <c r="O509" i="1"/>
  <c r="S510" i="1"/>
  <c r="N510" i="1"/>
  <c r="M510" i="1"/>
  <c r="O510" i="1"/>
  <c r="L510" i="1"/>
  <c r="S546" i="1"/>
  <c r="M546" i="1"/>
  <c r="O546" i="1"/>
  <c r="N546" i="1"/>
  <c r="L546" i="1"/>
  <c r="S404" i="1"/>
  <c r="M404" i="1"/>
  <c r="N404" i="1"/>
  <c r="L404" i="1"/>
  <c r="O404" i="1"/>
  <c r="S120" i="1"/>
  <c r="O120" i="1"/>
  <c r="N120" i="1"/>
  <c r="M120" i="1"/>
  <c r="L120" i="1"/>
  <c r="S392" i="1"/>
  <c r="O392" i="1"/>
  <c r="M392" i="1"/>
  <c r="N392" i="1"/>
  <c r="L392" i="1"/>
  <c r="S680" i="1"/>
  <c r="O680" i="1"/>
  <c r="M680" i="1"/>
  <c r="N680" i="1"/>
  <c r="L680" i="1"/>
  <c r="S298" i="1"/>
  <c r="O298" i="1"/>
  <c r="L298" i="1"/>
  <c r="M298" i="1"/>
  <c r="N298" i="1"/>
  <c r="S57" i="1"/>
  <c r="O57" i="1"/>
  <c r="N57" i="1"/>
  <c r="M57" i="1"/>
  <c r="L57" i="1"/>
  <c r="S313" i="1"/>
  <c r="O313" i="1"/>
  <c r="N313" i="1"/>
  <c r="M313" i="1"/>
  <c r="L313" i="1"/>
  <c r="S585" i="1"/>
  <c r="O585" i="1"/>
  <c r="M585" i="1"/>
  <c r="N585" i="1"/>
  <c r="L585" i="1"/>
  <c r="S186" i="1"/>
  <c r="O186" i="1"/>
  <c r="N186" i="1"/>
  <c r="L186" i="1"/>
  <c r="M186" i="1"/>
  <c r="S254" i="1"/>
  <c r="N254" i="1"/>
  <c r="M254" i="1"/>
  <c r="O254" i="1"/>
  <c r="L254" i="1"/>
  <c r="S199" i="1"/>
  <c r="M199" i="1"/>
  <c r="O199" i="1"/>
  <c r="N199" i="1"/>
  <c r="L199" i="1"/>
  <c r="S471" i="1"/>
  <c r="N471" i="1"/>
  <c r="M471" i="1"/>
  <c r="O471" i="1"/>
  <c r="L471" i="1"/>
  <c r="S570" i="1"/>
  <c r="O570" i="1"/>
  <c r="M570" i="1"/>
  <c r="N570" i="1"/>
  <c r="L570" i="1"/>
  <c r="S257" i="1"/>
  <c r="O257" i="1"/>
  <c r="N257" i="1"/>
  <c r="L257" i="1"/>
  <c r="M257" i="1"/>
  <c r="S529" i="1"/>
  <c r="N529" i="1"/>
  <c r="M529" i="1"/>
  <c r="L529" i="1"/>
  <c r="O529" i="1"/>
  <c r="S349" i="1"/>
  <c r="N349" i="1"/>
  <c r="L349" i="1"/>
  <c r="M349" i="1"/>
  <c r="O349" i="1"/>
  <c r="S181" i="1"/>
  <c r="O181" i="1"/>
  <c r="M181" i="1"/>
  <c r="L181" i="1"/>
  <c r="N181" i="1"/>
  <c r="S589" i="1"/>
  <c r="N589" i="1"/>
  <c r="O589" i="1"/>
  <c r="L589" i="1"/>
  <c r="M589" i="1"/>
  <c r="S261" i="1"/>
  <c r="N261" i="1"/>
  <c r="L261" i="1"/>
  <c r="M261" i="1"/>
  <c r="O261" i="1"/>
  <c r="S109" i="1"/>
  <c r="N109" i="1"/>
  <c r="L109" i="1"/>
  <c r="O109" i="1"/>
  <c r="M109" i="1"/>
  <c r="S236" i="1"/>
  <c r="N236" i="1"/>
  <c r="L236" i="1"/>
  <c r="M236" i="1"/>
  <c r="O236" i="1"/>
  <c r="S62" i="1"/>
  <c r="N62" i="1"/>
  <c r="M62" i="1"/>
  <c r="O62" i="1"/>
  <c r="L62" i="1"/>
  <c r="S555" i="1"/>
  <c r="O555" i="1"/>
  <c r="M555" i="1"/>
  <c r="L555" i="1"/>
  <c r="N555" i="1"/>
  <c r="S388" i="1"/>
  <c r="M388" i="1"/>
  <c r="O388" i="1"/>
  <c r="N388" i="1"/>
  <c r="L388" i="1"/>
  <c r="S315" i="1"/>
  <c r="O315" i="1"/>
  <c r="N315" i="1"/>
  <c r="M315" i="1"/>
  <c r="L315" i="1"/>
  <c r="S100" i="1"/>
  <c r="N100" i="1"/>
  <c r="O100" i="1"/>
  <c r="L100" i="1"/>
  <c r="M100" i="1"/>
  <c r="S212" i="1"/>
  <c r="O212" i="1"/>
  <c r="N212" i="1"/>
  <c r="M212" i="1"/>
  <c r="L212" i="1"/>
  <c r="S483" i="1"/>
  <c r="O483" i="1"/>
  <c r="L483" i="1"/>
  <c r="N483" i="1"/>
  <c r="M483" i="1"/>
  <c r="S6" i="1"/>
  <c r="L6" i="1"/>
  <c r="N6" i="1"/>
  <c r="M6" i="1"/>
  <c r="O6" i="1"/>
  <c r="S262" i="1"/>
  <c r="N262" i="1"/>
  <c r="L262" i="1"/>
  <c r="M262" i="1"/>
  <c r="O262" i="1"/>
  <c r="S518" i="1"/>
  <c r="L518" i="1"/>
  <c r="M518" i="1"/>
  <c r="O518" i="1"/>
  <c r="N518" i="1"/>
  <c r="S687" i="1"/>
  <c r="N687" i="1"/>
  <c r="L687" i="1"/>
  <c r="M687" i="1"/>
  <c r="O687" i="1"/>
  <c r="S192" i="1"/>
  <c r="O192" i="1"/>
  <c r="M192" i="1"/>
  <c r="L192" i="1"/>
  <c r="N192" i="1"/>
  <c r="S61" i="1"/>
  <c r="N61" i="1"/>
  <c r="M61" i="1"/>
  <c r="L61" i="1"/>
  <c r="O61" i="1"/>
  <c r="S548" i="1"/>
  <c r="N548" i="1"/>
  <c r="M548" i="1"/>
  <c r="L548" i="1"/>
  <c r="O548" i="1"/>
  <c r="S121" i="1"/>
  <c r="O121" i="1"/>
  <c r="N121" i="1"/>
  <c r="L121" i="1"/>
  <c r="M121" i="1"/>
  <c r="S7" i="1"/>
  <c r="L7" i="1"/>
  <c r="N7" i="1"/>
  <c r="M7" i="1"/>
  <c r="O7" i="1"/>
  <c r="S337" i="1"/>
  <c r="N337" i="1"/>
  <c r="O337" i="1"/>
  <c r="L337" i="1"/>
  <c r="M337" i="1"/>
  <c r="S420" i="1"/>
  <c r="N420" i="1"/>
  <c r="L420" i="1"/>
  <c r="O420" i="1"/>
  <c r="M420" i="1"/>
  <c r="S66" i="1"/>
  <c r="L66" i="1"/>
  <c r="M66" i="1"/>
  <c r="O66" i="1"/>
  <c r="N66" i="1"/>
  <c r="S190" i="1"/>
  <c r="N190" i="1"/>
  <c r="O190" i="1"/>
  <c r="M190" i="1"/>
  <c r="L190" i="1"/>
  <c r="S326" i="1"/>
  <c r="O326" i="1"/>
  <c r="N326" i="1"/>
  <c r="L326" i="1"/>
  <c r="M326" i="1"/>
  <c r="S19" i="1"/>
  <c r="M19" i="1"/>
  <c r="N19" i="1"/>
  <c r="O19" i="1"/>
  <c r="L19" i="1"/>
  <c r="S685" i="1"/>
  <c r="L685" i="1"/>
  <c r="M685" i="1"/>
  <c r="N685" i="1"/>
  <c r="O685" i="1"/>
  <c r="S200" i="1"/>
  <c r="O200" i="1"/>
  <c r="M200" i="1"/>
  <c r="L200" i="1"/>
  <c r="N200" i="1"/>
  <c r="S442" i="1"/>
  <c r="O442" i="1"/>
  <c r="N442" i="1"/>
  <c r="M442" i="1"/>
  <c r="L442" i="1"/>
  <c r="S346" i="1"/>
  <c r="O346" i="1"/>
  <c r="N346" i="1"/>
  <c r="M346" i="1"/>
  <c r="L346" i="1"/>
  <c r="S81" i="1"/>
  <c r="N81" i="1"/>
  <c r="O81" i="1"/>
  <c r="M81" i="1"/>
  <c r="L81" i="1"/>
  <c r="S357" i="1"/>
  <c r="N357" i="1"/>
  <c r="O357" i="1"/>
  <c r="L357" i="1"/>
  <c r="M357" i="1"/>
  <c r="S492" i="1"/>
  <c r="N492" i="1"/>
  <c r="L492" i="1"/>
  <c r="O492" i="1"/>
  <c r="M492" i="1"/>
  <c r="S459" i="1"/>
  <c r="O459" i="1"/>
  <c r="M459" i="1"/>
  <c r="L459" i="1"/>
  <c r="N459" i="1"/>
  <c r="S86" i="1"/>
  <c r="M86" i="1"/>
  <c r="L86" i="1"/>
  <c r="N86" i="1"/>
  <c r="O86" i="1"/>
  <c r="S268" i="1"/>
  <c r="N268" i="1"/>
  <c r="O268" i="1"/>
  <c r="L268" i="1"/>
  <c r="M268" i="1"/>
  <c r="S178" i="1"/>
  <c r="M178" i="1"/>
  <c r="N178" i="1"/>
  <c r="L178" i="1"/>
  <c r="O178" i="1"/>
  <c r="S520" i="1"/>
  <c r="O520" i="1"/>
  <c r="M520" i="1"/>
  <c r="N520" i="1"/>
  <c r="L520" i="1"/>
  <c r="S409" i="1"/>
  <c r="O409" i="1"/>
  <c r="M409" i="1"/>
  <c r="N409" i="1"/>
  <c r="L409" i="1"/>
  <c r="S295" i="1"/>
  <c r="N295" i="1"/>
  <c r="O295" i="1"/>
  <c r="M295" i="1"/>
  <c r="L295" i="1"/>
  <c r="S625" i="1"/>
  <c r="M625" i="1"/>
  <c r="O625" i="1"/>
  <c r="L625" i="1"/>
  <c r="N625" i="1"/>
  <c r="S437" i="1"/>
  <c r="O437" i="1"/>
  <c r="L437" i="1"/>
  <c r="M437" i="1"/>
  <c r="N437" i="1"/>
  <c r="S641" i="1"/>
  <c r="M641" i="1"/>
  <c r="O641" i="1"/>
  <c r="N641" i="1"/>
  <c r="L641" i="1"/>
  <c r="S321" i="1"/>
  <c r="L321" i="1"/>
  <c r="N321" i="1"/>
  <c r="M321" i="1"/>
  <c r="O321" i="1"/>
  <c r="S614" i="1"/>
  <c r="L614" i="1"/>
  <c r="N614" i="1"/>
  <c r="M614" i="1"/>
  <c r="O614" i="1"/>
  <c r="S205" i="1"/>
  <c r="N205" i="1"/>
  <c r="O205" i="1"/>
  <c r="L205" i="1"/>
  <c r="M205" i="1"/>
  <c r="S628" i="1"/>
  <c r="O628" i="1"/>
  <c r="N628" i="1"/>
  <c r="M628" i="1"/>
  <c r="L628" i="1"/>
  <c r="S522" i="1"/>
  <c r="O522" i="1"/>
  <c r="N522" i="1"/>
  <c r="M522" i="1"/>
  <c r="L522" i="1"/>
  <c r="S426" i="1"/>
  <c r="O426" i="1"/>
  <c r="L426" i="1"/>
  <c r="N426" i="1"/>
  <c r="M426" i="1"/>
  <c r="S113" i="1"/>
  <c r="O113" i="1"/>
  <c r="M113" i="1"/>
  <c r="L113" i="1"/>
  <c r="N113" i="1"/>
  <c r="S421" i="1"/>
  <c r="N421" i="1"/>
  <c r="L421" i="1"/>
  <c r="M421" i="1"/>
  <c r="O421" i="1"/>
  <c r="S588" i="1"/>
  <c r="N588" i="1"/>
  <c r="O588" i="1"/>
  <c r="L588" i="1"/>
  <c r="M588" i="1"/>
  <c r="S571" i="1"/>
  <c r="O571" i="1"/>
  <c r="N571" i="1"/>
  <c r="M571" i="1"/>
  <c r="L571" i="1"/>
  <c r="S370" i="1"/>
  <c r="M370" i="1"/>
  <c r="N370" i="1"/>
  <c r="L370" i="1"/>
  <c r="O370" i="1"/>
  <c r="S291" i="1"/>
  <c r="O291" i="1"/>
  <c r="M291" i="1"/>
  <c r="N291" i="1"/>
  <c r="L291" i="1"/>
  <c r="S78" i="1"/>
  <c r="N78" i="1"/>
  <c r="M78" i="1"/>
  <c r="O78" i="1"/>
  <c r="L78" i="1"/>
  <c r="S248" i="1"/>
  <c r="O248" i="1"/>
  <c r="N248" i="1"/>
  <c r="M248" i="1"/>
  <c r="L248" i="1"/>
  <c r="S185" i="1"/>
  <c r="O185" i="1"/>
  <c r="N185" i="1"/>
  <c r="L185" i="1"/>
  <c r="M185" i="1"/>
  <c r="S71" i="1"/>
  <c r="O71" i="1"/>
  <c r="N71" i="1"/>
  <c r="M71" i="1"/>
  <c r="L71" i="1"/>
  <c r="S401" i="1"/>
  <c r="N401" i="1"/>
  <c r="L401" i="1"/>
  <c r="M401" i="1"/>
  <c r="O401" i="1"/>
  <c r="S21" i="1"/>
  <c r="M21" i="1"/>
  <c r="O21" i="1"/>
  <c r="L21" i="1"/>
  <c r="N21" i="1"/>
  <c r="S339" i="1"/>
  <c r="N339" i="1"/>
  <c r="L339" i="1"/>
  <c r="O339" i="1"/>
  <c r="M339" i="1"/>
  <c r="S306" i="1"/>
  <c r="L306" i="1"/>
  <c r="N306" i="1"/>
  <c r="O306" i="1"/>
  <c r="M306" i="1"/>
  <c r="S134" i="1"/>
  <c r="N134" i="1"/>
  <c r="L134" i="1"/>
  <c r="O134" i="1"/>
  <c r="M134" i="1"/>
  <c r="S332" i="1"/>
  <c r="N332" i="1"/>
  <c r="O332" i="1"/>
  <c r="L332" i="1"/>
  <c r="M332" i="1"/>
  <c r="S258" i="1"/>
  <c r="O258" i="1"/>
  <c r="N258" i="1"/>
  <c r="L258" i="1"/>
  <c r="M258" i="1"/>
  <c r="S568" i="1"/>
  <c r="O568" i="1"/>
  <c r="N568" i="1"/>
  <c r="M568" i="1"/>
  <c r="L568" i="1"/>
  <c r="S457" i="1"/>
  <c r="O457" i="1"/>
  <c r="M457" i="1"/>
  <c r="L457" i="1"/>
  <c r="N457" i="1"/>
  <c r="S343" i="1"/>
  <c r="L343" i="1"/>
  <c r="N343" i="1"/>
  <c r="M343" i="1"/>
  <c r="O343" i="1"/>
  <c r="S689" i="1"/>
  <c r="M689" i="1"/>
  <c r="N689" i="1"/>
  <c r="O689" i="1"/>
  <c r="L689" i="1"/>
  <c r="S517" i="1"/>
  <c r="L517" i="1"/>
  <c r="O517" i="1"/>
  <c r="M517" i="1"/>
  <c r="N517" i="1"/>
  <c r="S67" i="1"/>
  <c r="M67" i="1"/>
  <c r="L67" i="1"/>
  <c r="O67" i="1"/>
  <c r="N67" i="1"/>
  <c r="S434" i="1"/>
  <c r="O434" i="1"/>
  <c r="M434" i="1"/>
  <c r="N434" i="1"/>
  <c r="L434" i="1"/>
  <c r="S406" i="1"/>
  <c r="O406" i="1"/>
  <c r="M406" i="1"/>
  <c r="N406" i="1"/>
  <c r="L406" i="1"/>
  <c r="S51" i="1"/>
  <c r="M51" i="1"/>
  <c r="N51" i="1"/>
  <c r="L51" i="1"/>
  <c r="O51" i="1"/>
  <c r="S301" i="1"/>
  <c r="N301" i="1"/>
  <c r="L301" i="1"/>
  <c r="O301" i="1"/>
  <c r="M301" i="1"/>
  <c r="S24" i="1"/>
  <c r="O24" i="1"/>
  <c r="N24" i="1"/>
  <c r="L24" i="1"/>
  <c r="M24" i="1"/>
  <c r="S634" i="1"/>
  <c r="O634" i="1"/>
  <c r="L634" i="1"/>
  <c r="M634" i="1"/>
  <c r="N634" i="1"/>
  <c r="S538" i="1"/>
  <c r="O538" i="1"/>
  <c r="L538" i="1"/>
  <c r="N538" i="1"/>
  <c r="M538" i="1"/>
  <c r="S161" i="1"/>
  <c r="O161" i="1"/>
  <c r="N161" i="1"/>
  <c r="L161" i="1"/>
  <c r="M161" i="1"/>
  <c r="S533" i="1"/>
  <c r="L533" i="1"/>
  <c r="M533" i="1"/>
  <c r="N533" i="1"/>
  <c r="O533" i="1"/>
  <c r="S684" i="1"/>
  <c r="L684" i="1"/>
  <c r="M684" i="1"/>
  <c r="N684" i="1"/>
  <c r="O684" i="1"/>
  <c r="S338" i="1"/>
  <c r="L338" i="1"/>
  <c r="O338" i="1"/>
  <c r="N338" i="1"/>
  <c r="M338" i="1"/>
  <c r="S166" i="1"/>
  <c r="M166" i="1"/>
  <c r="L166" i="1"/>
  <c r="O166" i="1"/>
  <c r="N166" i="1"/>
  <c r="S364" i="1"/>
  <c r="N364" i="1"/>
  <c r="L364" i="1"/>
  <c r="O364" i="1"/>
  <c r="M364" i="1"/>
  <c r="S386" i="1"/>
  <c r="O386" i="1"/>
  <c r="N386" i="1"/>
  <c r="L386" i="1"/>
  <c r="M386" i="1"/>
  <c r="S600" i="1"/>
  <c r="O600" i="1"/>
  <c r="M600" i="1"/>
  <c r="N600" i="1"/>
  <c r="L600" i="1"/>
  <c r="S489" i="1"/>
  <c r="O489" i="1"/>
  <c r="M489" i="1"/>
  <c r="N489" i="1"/>
  <c r="L489" i="1"/>
  <c r="S375" i="1"/>
  <c r="O375" i="1"/>
  <c r="M375" i="1"/>
  <c r="N375" i="1"/>
  <c r="L375" i="1"/>
  <c r="S449" i="1"/>
  <c r="M449" i="1"/>
  <c r="N449" i="1"/>
  <c r="L449" i="1"/>
  <c r="O449" i="1"/>
  <c r="S101" i="1"/>
  <c r="N101" i="1"/>
  <c r="O101" i="1"/>
  <c r="L101" i="1"/>
  <c r="M101" i="1"/>
  <c r="S356" i="1"/>
  <c r="N356" i="1"/>
  <c r="O356" i="1"/>
  <c r="M356" i="1"/>
  <c r="L356" i="1"/>
  <c r="S307" i="1"/>
  <c r="L307" i="1"/>
  <c r="N307" i="1"/>
  <c r="O307" i="1"/>
  <c r="M307" i="1"/>
  <c r="S438" i="1"/>
  <c r="L438" i="1"/>
  <c r="O438" i="1"/>
  <c r="M438" i="1"/>
  <c r="N438" i="1"/>
  <c r="S675" i="1"/>
  <c r="N675" i="1"/>
  <c r="O675" i="1"/>
  <c r="L675" i="1"/>
  <c r="M675" i="1"/>
  <c r="S286" i="1"/>
  <c r="N286" i="1"/>
  <c r="M286" i="1"/>
  <c r="L286" i="1"/>
  <c r="O286" i="1"/>
  <c r="S328" i="1"/>
  <c r="O328" i="1"/>
  <c r="M328" i="1"/>
  <c r="N328" i="1"/>
  <c r="L328" i="1"/>
  <c r="S249" i="1"/>
  <c r="O249" i="1"/>
  <c r="N249" i="1"/>
  <c r="M249" i="1"/>
  <c r="L249" i="1"/>
  <c r="S618" i="1"/>
  <c r="O618" i="1"/>
  <c r="L618" i="1"/>
  <c r="N618" i="1"/>
  <c r="M618" i="1"/>
  <c r="S193" i="1"/>
  <c r="O193" i="1"/>
  <c r="L193" i="1"/>
  <c r="M193" i="1"/>
  <c r="N193" i="1"/>
  <c r="S133" i="1"/>
  <c r="O133" i="1"/>
  <c r="N133" i="1"/>
  <c r="L133" i="1"/>
  <c r="M133" i="1"/>
  <c r="S395" i="1"/>
  <c r="O395" i="1"/>
  <c r="M395" i="1"/>
  <c r="N395" i="1"/>
  <c r="L395" i="1"/>
  <c r="S419" i="1"/>
  <c r="O419" i="1"/>
  <c r="L419" i="1"/>
  <c r="N419" i="1"/>
  <c r="M419" i="1"/>
  <c r="S454" i="1"/>
  <c r="L454" i="1"/>
  <c r="O454" i="1"/>
  <c r="N454" i="1"/>
  <c r="M454" i="1"/>
  <c r="S259" i="1"/>
  <c r="M259" i="1"/>
  <c r="O259" i="1"/>
  <c r="N259" i="1"/>
  <c r="L259" i="1"/>
  <c r="S350" i="1"/>
  <c r="N350" i="1"/>
  <c r="M350" i="1"/>
  <c r="O350" i="1"/>
  <c r="L350" i="1"/>
  <c r="S632" i="1"/>
  <c r="O632" i="1"/>
  <c r="N632" i="1"/>
  <c r="M632" i="1"/>
  <c r="L632" i="1"/>
  <c r="S521" i="1"/>
  <c r="O521" i="1"/>
  <c r="M521" i="1"/>
  <c r="N521" i="1"/>
  <c r="L521" i="1"/>
  <c r="S650" i="1"/>
  <c r="O650" i="1"/>
  <c r="N650" i="1"/>
  <c r="M650" i="1"/>
  <c r="L650" i="1"/>
  <c r="S679" i="1"/>
  <c r="N679" i="1"/>
  <c r="L679" i="1"/>
  <c r="O679" i="1"/>
  <c r="M679" i="1"/>
  <c r="S613" i="1"/>
  <c r="N613" i="1"/>
  <c r="M613" i="1"/>
  <c r="L613" i="1"/>
  <c r="O613" i="1"/>
  <c r="S443" i="1"/>
  <c r="O443" i="1"/>
  <c r="N443" i="1"/>
  <c r="M443" i="1"/>
  <c r="L443" i="1"/>
  <c r="S579" i="1"/>
  <c r="N579" i="1"/>
  <c r="L579" i="1"/>
  <c r="M579" i="1"/>
  <c r="O579" i="1"/>
  <c r="S444" i="1"/>
  <c r="N444" i="1"/>
  <c r="L444" i="1"/>
  <c r="O444" i="1"/>
  <c r="M444" i="1"/>
  <c r="S323" i="1"/>
  <c r="L323" i="1"/>
  <c r="M323" i="1"/>
  <c r="N323" i="1"/>
  <c r="O323" i="1"/>
  <c r="S477" i="1"/>
  <c r="N477" i="1"/>
  <c r="L477" i="1"/>
  <c r="O477" i="1"/>
  <c r="M477" i="1"/>
  <c r="S88" i="1"/>
  <c r="O88" i="1"/>
  <c r="M88" i="1"/>
  <c r="N88" i="1"/>
  <c r="L88" i="1"/>
  <c r="S25" i="1"/>
  <c r="O25" i="1"/>
  <c r="N25" i="1"/>
  <c r="L25" i="1"/>
  <c r="M25" i="1"/>
  <c r="S682" i="1"/>
  <c r="O682" i="1"/>
  <c r="N682" i="1"/>
  <c r="L682" i="1"/>
  <c r="M682" i="1"/>
  <c r="S225" i="1"/>
  <c r="O225" i="1"/>
  <c r="L225" i="1"/>
  <c r="M225" i="1"/>
  <c r="N225" i="1"/>
  <c r="S645" i="1"/>
  <c r="M645" i="1"/>
  <c r="O645" i="1"/>
  <c r="L645" i="1"/>
  <c r="N645" i="1"/>
  <c r="S172" i="1"/>
  <c r="N172" i="1"/>
  <c r="L172" i="1"/>
  <c r="M172" i="1"/>
  <c r="O172" i="1"/>
  <c r="S371" i="1"/>
  <c r="M371" i="1"/>
  <c r="N371" i="1"/>
  <c r="L371" i="1"/>
  <c r="O371" i="1"/>
  <c r="S230" i="1"/>
  <c r="M230" i="1"/>
  <c r="N230" i="1"/>
  <c r="O230" i="1"/>
  <c r="L230" i="1"/>
  <c r="S355" i="1"/>
  <c r="O355" i="1"/>
  <c r="M355" i="1"/>
  <c r="N355" i="1"/>
  <c r="L355" i="1"/>
  <c r="S493" i="1"/>
  <c r="N493" i="1"/>
  <c r="L493" i="1"/>
  <c r="O493" i="1"/>
  <c r="M493" i="1"/>
  <c r="S104" i="1"/>
  <c r="O104" i="1"/>
  <c r="M104" i="1"/>
  <c r="N104" i="1"/>
  <c r="L104" i="1"/>
  <c r="S41" i="1"/>
  <c r="O41" i="1"/>
  <c r="M41" i="1"/>
  <c r="L41" i="1"/>
  <c r="N41" i="1"/>
  <c r="S46" i="1"/>
  <c r="N46" i="1"/>
  <c r="M46" i="1"/>
  <c r="O46" i="1"/>
  <c r="L46" i="1"/>
  <c r="S241" i="1"/>
  <c r="L241" i="1"/>
  <c r="O241" i="1"/>
  <c r="N241" i="1"/>
  <c r="M241" i="1"/>
  <c r="S677" i="1"/>
  <c r="L677" i="1"/>
  <c r="O677" i="1"/>
  <c r="M677" i="1"/>
  <c r="N677" i="1"/>
  <c r="S525" i="1"/>
  <c r="N525" i="1"/>
  <c r="O525" i="1"/>
  <c r="L525" i="1"/>
  <c r="M525" i="1"/>
  <c r="S299" i="1"/>
  <c r="O299" i="1"/>
  <c r="M299" i="1"/>
  <c r="L299" i="1"/>
  <c r="N299" i="1"/>
  <c r="S246" i="1"/>
  <c r="O246" i="1"/>
  <c r="N246" i="1"/>
  <c r="M246" i="1"/>
  <c r="L246" i="1"/>
  <c r="S531" i="1"/>
  <c r="N531" i="1"/>
  <c r="M531" i="1"/>
  <c r="L531" i="1"/>
  <c r="O531" i="1"/>
  <c r="S556" i="1"/>
  <c r="N556" i="1"/>
  <c r="L556" i="1"/>
  <c r="M556" i="1"/>
  <c r="O556" i="1"/>
  <c r="S654" i="1"/>
  <c r="N654" i="1"/>
  <c r="L654" i="1"/>
  <c r="O654" i="1"/>
  <c r="M654" i="1"/>
  <c r="S541" i="1"/>
  <c r="N541" i="1"/>
  <c r="L541" i="1"/>
  <c r="O541" i="1"/>
  <c r="M541" i="1"/>
  <c r="S574" i="1"/>
  <c r="N574" i="1"/>
  <c r="O574" i="1"/>
  <c r="M574" i="1"/>
  <c r="L574" i="1"/>
  <c r="S594" i="1"/>
  <c r="O594" i="1"/>
  <c r="L594" i="1"/>
  <c r="M594" i="1"/>
  <c r="N594" i="1"/>
  <c r="S436" i="1"/>
  <c r="O436" i="1"/>
  <c r="M436" i="1"/>
  <c r="L436" i="1"/>
  <c r="N436" i="1"/>
  <c r="S136" i="1"/>
  <c r="O136" i="1"/>
  <c r="L136" i="1"/>
  <c r="M136" i="1"/>
  <c r="N136" i="1"/>
  <c r="S424" i="1"/>
  <c r="O424" i="1"/>
  <c r="M424" i="1"/>
  <c r="N424" i="1"/>
  <c r="L424" i="1"/>
  <c r="S27" i="1"/>
  <c r="O27" i="1"/>
  <c r="M27" i="1"/>
  <c r="L27" i="1"/>
  <c r="N27" i="1"/>
  <c r="S330" i="1"/>
  <c r="O330" i="1"/>
  <c r="M330" i="1"/>
  <c r="L330" i="1"/>
  <c r="N330" i="1"/>
  <c r="S73" i="1"/>
  <c r="O73" i="1"/>
  <c r="N73" i="1"/>
  <c r="L73" i="1"/>
  <c r="M73" i="1"/>
  <c r="S329" i="1"/>
  <c r="O329" i="1"/>
  <c r="M329" i="1"/>
  <c r="N329" i="1"/>
  <c r="L329" i="1"/>
  <c r="S601" i="1"/>
  <c r="O601" i="1"/>
  <c r="M601" i="1"/>
  <c r="N601" i="1"/>
  <c r="L601" i="1"/>
  <c r="S218" i="1"/>
  <c r="O218" i="1"/>
  <c r="L218" i="1"/>
  <c r="N218" i="1"/>
  <c r="M218" i="1"/>
  <c r="S542" i="1"/>
  <c r="N542" i="1"/>
  <c r="O542" i="1"/>
  <c r="L542" i="1"/>
  <c r="M542" i="1"/>
  <c r="S215" i="1"/>
  <c r="M215" i="1"/>
  <c r="O215" i="1"/>
  <c r="L215" i="1"/>
  <c r="N215" i="1"/>
  <c r="S487" i="1"/>
  <c r="N487" i="1"/>
  <c r="O487" i="1"/>
  <c r="M487" i="1"/>
  <c r="L487" i="1"/>
  <c r="S17" i="1"/>
  <c r="N17" i="1"/>
  <c r="O17" i="1"/>
  <c r="L17" i="1"/>
  <c r="M17" i="1"/>
  <c r="S273" i="1"/>
  <c r="N273" i="1"/>
  <c r="O273" i="1"/>
  <c r="M273" i="1"/>
  <c r="L273" i="1"/>
  <c r="S545" i="1"/>
  <c r="O545" i="1"/>
  <c r="N545" i="1"/>
  <c r="M545" i="1"/>
  <c r="L545" i="1"/>
  <c r="S429" i="1"/>
  <c r="N429" i="1"/>
  <c r="L429" i="1"/>
  <c r="M429" i="1"/>
  <c r="O429" i="1"/>
  <c r="S213" i="1"/>
  <c r="O213" i="1"/>
  <c r="N213" i="1"/>
  <c r="M213" i="1"/>
  <c r="L213" i="1"/>
  <c r="S116" i="1"/>
  <c r="O116" i="1"/>
  <c r="N116" i="1"/>
  <c r="M116" i="1"/>
  <c r="L116" i="1"/>
  <c r="S277" i="1"/>
  <c r="O277" i="1"/>
  <c r="L277" i="1"/>
  <c r="N277" i="1"/>
  <c r="M277" i="1"/>
  <c r="S173" i="1"/>
  <c r="N173" i="1"/>
  <c r="L173" i="1"/>
  <c r="M173" i="1"/>
  <c r="O173" i="1"/>
  <c r="S252" i="1"/>
  <c r="N252" i="1"/>
  <c r="L252" i="1"/>
  <c r="O252" i="1"/>
  <c r="M252" i="1"/>
  <c r="S430" i="1"/>
  <c r="N430" i="1"/>
  <c r="M430" i="1"/>
  <c r="O430" i="1"/>
  <c r="L430" i="1"/>
  <c r="S587" i="1"/>
  <c r="O587" i="1"/>
  <c r="M587" i="1"/>
  <c r="L587" i="1"/>
  <c r="N587" i="1"/>
  <c r="S452" i="1"/>
  <c r="M452" i="1"/>
  <c r="L452" i="1"/>
  <c r="O452" i="1"/>
  <c r="N452" i="1"/>
  <c r="S363" i="1"/>
  <c r="O363" i="1"/>
  <c r="M363" i="1"/>
  <c r="N363" i="1"/>
  <c r="L363" i="1"/>
  <c r="S280" i="1"/>
  <c r="O280" i="1"/>
  <c r="M280" i="1"/>
  <c r="L280" i="1"/>
  <c r="N280" i="1"/>
  <c r="S292" i="1"/>
  <c r="N292" i="1"/>
  <c r="O292" i="1"/>
  <c r="M292" i="1"/>
  <c r="L292" i="1"/>
  <c r="S180" i="1"/>
  <c r="O180" i="1"/>
  <c r="M180" i="1"/>
  <c r="N180" i="1"/>
  <c r="L180" i="1"/>
  <c r="S22" i="1"/>
  <c r="M22" i="1"/>
  <c r="O22" i="1"/>
  <c r="L22" i="1"/>
  <c r="N22" i="1"/>
  <c r="S278" i="1"/>
  <c r="L278" i="1"/>
  <c r="N278" i="1"/>
  <c r="O278" i="1"/>
  <c r="M278" i="1"/>
  <c r="S534" i="1"/>
  <c r="L534" i="1"/>
  <c r="M534" i="1"/>
  <c r="O534" i="1"/>
  <c r="N534" i="1"/>
  <c r="S188" i="1"/>
  <c r="N188" i="1"/>
  <c r="L188" i="1"/>
  <c r="O188" i="1"/>
  <c r="M188" i="1"/>
  <c r="S114" i="1"/>
  <c r="M114" i="1"/>
  <c r="O114" i="1"/>
  <c r="L114" i="1"/>
  <c r="N114" i="1"/>
  <c r="S472" i="1"/>
  <c r="O472" i="1"/>
  <c r="M472" i="1"/>
  <c r="N472" i="1"/>
  <c r="L472" i="1"/>
  <c r="S377" i="1"/>
  <c r="O377" i="1"/>
  <c r="N377" i="1"/>
  <c r="M377" i="1"/>
  <c r="L377" i="1"/>
  <c r="S263" i="1"/>
  <c r="N263" i="1"/>
  <c r="L263" i="1"/>
  <c r="M263" i="1"/>
  <c r="O263" i="1"/>
  <c r="S593" i="1"/>
  <c r="N593" i="1"/>
  <c r="O593" i="1"/>
  <c r="L593" i="1"/>
  <c r="M593" i="1"/>
  <c r="S373" i="1"/>
  <c r="O373" i="1"/>
  <c r="M373" i="1"/>
  <c r="N373" i="1"/>
  <c r="L373" i="1"/>
  <c r="S667" i="1"/>
  <c r="O667" i="1"/>
  <c r="M667" i="1"/>
  <c r="L667" i="1"/>
  <c r="N667" i="1"/>
  <c r="S126" i="1"/>
  <c r="N126" i="1"/>
  <c r="M126" i="1"/>
  <c r="L126" i="1"/>
  <c r="O126" i="1"/>
  <c r="S582" i="1"/>
  <c r="O582" i="1"/>
  <c r="N582" i="1"/>
  <c r="M582" i="1"/>
  <c r="L582" i="1"/>
  <c r="S93" i="1"/>
  <c r="N93" i="1"/>
  <c r="L93" i="1"/>
  <c r="M93" i="1"/>
  <c r="O93" i="1"/>
  <c r="S564" i="1"/>
  <c r="O564" i="1"/>
  <c r="L564" i="1"/>
  <c r="N564" i="1"/>
  <c r="M564" i="1"/>
  <c r="S137" i="1"/>
  <c r="O137" i="1"/>
  <c r="M137" i="1"/>
  <c r="L137" i="1"/>
  <c r="N137" i="1"/>
  <c r="S23" i="1"/>
  <c r="N23" i="1"/>
  <c r="L23" i="1"/>
  <c r="M23" i="1"/>
  <c r="O23" i="1"/>
  <c r="S353" i="1"/>
  <c r="O353" i="1"/>
  <c r="M353" i="1"/>
  <c r="N353" i="1"/>
  <c r="L353" i="1"/>
  <c r="S660" i="1"/>
  <c r="N660" i="1"/>
  <c r="O660" i="1"/>
  <c r="M660" i="1"/>
  <c r="L660" i="1"/>
  <c r="S162" i="1"/>
  <c r="M162" i="1"/>
  <c r="L162" i="1"/>
  <c r="O162" i="1"/>
  <c r="N162" i="1"/>
  <c r="S638" i="1"/>
  <c r="N638" i="1"/>
  <c r="L638" i="1"/>
  <c r="M638" i="1"/>
  <c r="O638" i="1"/>
  <c r="S342" i="1"/>
  <c r="N342" i="1"/>
  <c r="L342" i="1"/>
  <c r="M342" i="1"/>
  <c r="O342" i="1"/>
  <c r="S141" i="1"/>
  <c r="N141" i="1"/>
  <c r="O141" i="1"/>
  <c r="L141" i="1"/>
  <c r="M141" i="1"/>
  <c r="S612" i="1"/>
  <c r="N612" i="1"/>
  <c r="M612" i="1"/>
  <c r="L612" i="1"/>
  <c r="O612" i="1"/>
  <c r="S474" i="1"/>
  <c r="O474" i="1"/>
  <c r="N474" i="1"/>
  <c r="L474" i="1"/>
  <c r="M474" i="1"/>
  <c r="S378" i="1"/>
  <c r="O378" i="1"/>
  <c r="L378" i="1"/>
  <c r="M378" i="1"/>
  <c r="N378" i="1"/>
  <c r="S97" i="1"/>
  <c r="O97" i="1"/>
  <c r="M97" i="1"/>
  <c r="L97" i="1"/>
  <c r="N97" i="1"/>
  <c r="S389" i="1"/>
  <c r="M389" i="1"/>
  <c r="L389" i="1"/>
  <c r="O389" i="1"/>
  <c r="N389" i="1"/>
  <c r="S524" i="1"/>
  <c r="N524" i="1"/>
  <c r="O524" i="1"/>
  <c r="L524" i="1"/>
  <c r="M524" i="1"/>
  <c r="S523" i="1"/>
  <c r="O523" i="1"/>
  <c r="M523" i="1"/>
  <c r="N523" i="1"/>
  <c r="L523" i="1"/>
  <c r="S98" i="1"/>
  <c r="O98" i="1"/>
  <c r="L98" i="1"/>
  <c r="N98" i="1"/>
  <c r="M98" i="1"/>
  <c r="S351" i="1"/>
  <c r="N351" i="1"/>
  <c r="L351" i="1"/>
  <c r="M351" i="1"/>
  <c r="O351" i="1"/>
  <c r="S30" i="1"/>
  <c r="N30" i="1"/>
  <c r="L30" i="1"/>
  <c r="O30" i="1"/>
  <c r="M30" i="1"/>
  <c r="S20" i="1"/>
  <c r="M20" i="1"/>
  <c r="O20" i="1"/>
  <c r="L20" i="1"/>
  <c r="N20" i="1"/>
  <c r="S347" i="1"/>
  <c r="O347" i="1"/>
  <c r="M347" i="1"/>
  <c r="N347" i="1"/>
  <c r="L347" i="1"/>
  <c r="S697" i="1"/>
  <c r="O697" i="1"/>
  <c r="M697" i="1"/>
  <c r="L697" i="1"/>
  <c r="N697" i="1"/>
  <c r="S583" i="1"/>
  <c r="O583" i="1"/>
  <c r="N583" i="1"/>
  <c r="M583" i="1"/>
  <c r="L583" i="1"/>
  <c r="S461" i="1"/>
  <c r="N461" i="1"/>
  <c r="O461" i="1"/>
  <c r="L461" i="1"/>
  <c r="M461" i="1"/>
  <c r="S462" i="1"/>
  <c r="N462" i="1"/>
  <c r="O462" i="1"/>
  <c r="L462" i="1"/>
  <c r="M462" i="1"/>
  <c r="S123" i="1"/>
  <c r="O123" i="1"/>
  <c r="N123" i="1"/>
  <c r="L123" i="1"/>
  <c r="M123" i="1"/>
  <c r="S118" i="1"/>
  <c r="N118" i="1"/>
  <c r="O118" i="1"/>
  <c r="M118" i="1"/>
  <c r="L118" i="1"/>
  <c r="S94" i="1"/>
  <c r="N94" i="1"/>
  <c r="M94" i="1"/>
  <c r="L94" i="1"/>
  <c r="O94" i="1"/>
  <c r="S68" i="1"/>
  <c r="O68" i="1"/>
  <c r="L68" i="1"/>
  <c r="M68" i="1"/>
  <c r="N68" i="1"/>
  <c r="S475" i="1"/>
  <c r="O475" i="1"/>
  <c r="M475" i="1"/>
  <c r="L475" i="1"/>
  <c r="N475" i="1"/>
  <c r="S441" i="1"/>
  <c r="O441" i="1"/>
  <c r="N441" i="1"/>
  <c r="M441" i="1"/>
  <c r="L441" i="1"/>
  <c r="S327" i="1"/>
  <c r="O327" i="1"/>
  <c r="N327" i="1"/>
  <c r="L327" i="1"/>
  <c r="M327" i="1"/>
  <c r="S557" i="1"/>
  <c r="N557" i="1"/>
  <c r="L557" i="1"/>
  <c r="O557" i="1"/>
  <c r="M557" i="1"/>
  <c r="S606" i="1"/>
  <c r="N606" i="1"/>
  <c r="M606" i="1"/>
  <c r="L606" i="1"/>
  <c r="O606" i="1"/>
  <c r="S139" i="1"/>
  <c r="O139" i="1"/>
  <c r="M139" i="1"/>
  <c r="L139" i="1"/>
  <c r="N139" i="1"/>
  <c r="S514" i="1"/>
  <c r="O514" i="1"/>
  <c r="N514" i="1"/>
  <c r="L514" i="1"/>
  <c r="M514" i="1"/>
  <c r="S511" i="1"/>
  <c r="N511" i="1"/>
  <c r="L511" i="1"/>
  <c r="M511" i="1"/>
  <c r="O511" i="1"/>
  <c r="S142" i="1"/>
  <c r="N142" i="1"/>
  <c r="L142" i="1"/>
  <c r="M142" i="1"/>
  <c r="O142" i="1"/>
  <c r="S132" i="1"/>
  <c r="M132" i="1"/>
  <c r="N132" i="1"/>
  <c r="O132" i="1"/>
  <c r="L132" i="1"/>
  <c r="S539" i="1"/>
  <c r="O539" i="1"/>
  <c r="M539" i="1"/>
  <c r="L539" i="1"/>
  <c r="N539" i="1"/>
  <c r="S26" i="1"/>
  <c r="O26" i="1"/>
  <c r="M26" i="1"/>
  <c r="N26" i="1"/>
  <c r="L26" i="1"/>
  <c r="S615" i="1"/>
  <c r="N615" i="1"/>
  <c r="L615" i="1"/>
  <c r="O615" i="1"/>
  <c r="M615" i="1"/>
  <c r="S222" i="1"/>
  <c r="N222" i="1"/>
  <c r="L222" i="1"/>
  <c r="O222" i="1"/>
  <c r="M222" i="1"/>
  <c r="S506" i="1"/>
  <c r="O506" i="1"/>
  <c r="L506" i="1"/>
  <c r="N506" i="1"/>
  <c r="M506" i="1"/>
  <c r="S155" i="1"/>
  <c r="O155" i="1"/>
  <c r="N155" i="1"/>
  <c r="L155" i="1"/>
  <c r="M155" i="1"/>
  <c r="S150" i="1"/>
  <c r="M150" i="1"/>
  <c r="O150" i="1"/>
  <c r="N150" i="1"/>
  <c r="L150" i="1"/>
  <c r="S348" i="1"/>
  <c r="N348" i="1"/>
  <c r="L348" i="1"/>
  <c r="M348" i="1"/>
  <c r="O348" i="1"/>
  <c r="S322" i="1"/>
  <c r="L322" i="1"/>
  <c r="M322" i="1"/>
  <c r="N322" i="1"/>
  <c r="O322" i="1"/>
  <c r="S90" i="1"/>
  <c r="O90" i="1"/>
  <c r="M90" i="1"/>
  <c r="N90" i="1"/>
  <c r="L90" i="1"/>
  <c r="S42" i="1"/>
  <c r="O42" i="1"/>
  <c r="L42" i="1"/>
  <c r="M42" i="1"/>
  <c r="N42" i="1"/>
  <c r="S631" i="1"/>
  <c r="O631" i="1"/>
  <c r="N631" i="1"/>
  <c r="M631" i="1"/>
  <c r="L631" i="1"/>
  <c r="S334" i="1"/>
  <c r="N334" i="1"/>
  <c r="M334" i="1"/>
  <c r="O334" i="1"/>
  <c r="L334" i="1"/>
  <c r="S12" i="1"/>
  <c r="N12" i="1"/>
  <c r="O12" i="1"/>
  <c r="L12" i="1"/>
  <c r="M12" i="1"/>
  <c r="S187" i="1"/>
  <c r="O187" i="1"/>
  <c r="N187" i="1"/>
  <c r="M187" i="1"/>
  <c r="L187" i="1"/>
  <c r="S35" i="1"/>
  <c r="M35" i="1"/>
  <c r="O35" i="1"/>
  <c r="N35" i="1"/>
  <c r="L35" i="1"/>
  <c r="S678" i="1"/>
  <c r="N678" i="1"/>
  <c r="L678" i="1"/>
  <c r="O678" i="1"/>
  <c r="M678" i="1"/>
  <c r="S302" i="1"/>
  <c r="N302" i="1"/>
  <c r="O302" i="1"/>
  <c r="L302" i="1"/>
  <c r="M302" i="1"/>
  <c r="S196" i="1"/>
  <c r="N196" i="1"/>
  <c r="L196" i="1"/>
  <c r="M196" i="1"/>
  <c r="O196" i="1"/>
  <c r="S122" i="1"/>
  <c r="O122" i="1"/>
  <c r="L122" i="1"/>
  <c r="N122" i="1"/>
  <c r="M122" i="1"/>
  <c r="S58" i="1"/>
  <c r="O58" i="1"/>
  <c r="M58" i="1"/>
  <c r="N58" i="1"/>
  <c r="L58" i="1"/>
  <c r="S647" i="1"/>
  <c r="M647" i="1"/>
  <c r="O647" i="1"/>
  <c r="N647" i="1"/>
  <c r="L647" i="1"/>
  <c r="S5" i="1"/>
  <c r="L5" i="1"/>
  <c r="N5" i="1"/>
  <c r="M5" i="1"/>
  <c r="O5" i="1"/>
  <c r="S44" i="1"/>
  <c r="N44" i="1"/>
  <c r="L44" i="1"/>
  <c r="M44" i="1"/>
  <c r="O44" i="1"/>
  <c r="S203" i="1"/>
  <c r="O203" i="1"/>
  <c r="N203" i="1"/>
  <c r="L203" i="1"/>
  <c r="M203" i="1"/>
  <c r="S244" i="1"/>
  <c r="O244" i="1"/>
  <c r="L244" i="1"/>
  <c r="N244" i="1"/>
  <c r="M244" i="1"/>
  <c r="S320" i="1"/>
  <c r="L320" i="1"/>
  <c r="N320" i="1"/>
  <c r="M320" i="1"/>
  <c r="O320" i="1"/>
  <c r="S366" i="1"/>
  <c r="N366" i="1"/>
  <c r="L366" i="1"/>
  <c r="M366" i="1"/>
  <c r="O366" i="1"/>
  <c r="S228" i="1"/>
  <c r="N228" i="1"/>
  <c r="O228" i="1"/>
  <c r="M228" i="1"/>
  <c r="L228" i="1"/>
  <c r="S170" i="1"/>
  <c r="O170" i="1"/>
  <c r="M170" i="1"/>
  <c r="L170" i="1"/>
  <c r="N170" i="1"/>
  <c r="S74" i="1"/>
  <c r="O74" i="1"/>
  <c r="N74" i="1"/>
  <c r="M74" i="1"/>
  <c r="L74" i="1"/>
  <c r="S663" i="1"/>
  <c r="M663" i="1"/>
  <c r="O663" i="1"/>
  <c r="N663" i="1"/>
  <c r="L663" i="1"/>
  <c r="S53" i="1"/>
  <c r="O53" i="1"/>
  <c r="N53" i="1"/>
  <c r="M53" i="1"/>
  <c r="L53" i="1"/>
  <c r="S108" i="1"/>
  <c r="N108" i="1"/>
  <c r="L108" i="1"/>
  <c r="O108" i="1"/>
  <c r="M108" i="1"/>
  <c r="S219" i="1"/>
  <c r="O219" i="1"/>
  <c r="L219" i="1"/>
  <c r="N219" i="1"/>
  <c r="M219" i="1"/>
  <c r="S324" i="1"/>
  <c r="O324" i="1"/>
  <c r="L324" i="1"/>
  <c r="M324" i="1"/>
  <c r="N324" i="1"/>
  <c r="S428" i="1"/>
  <c r="N428" i="1"/>
  <c r="L428" i="1"/>
  <c r="M428" i="1"/>
  <c r="O428" i="1"/>
  <c r="S450" i="1"/>
  <c r="M450" i="1"/>
  <c r="N450" i="1"/>
  <c r="L450" i="1"/>
  <c r="O450" i="1"/>
  <c r="S344" i="1"/>
  <c r="O344" i="1"/>
  <c r="M344" i="1"/>
  <c r="N344" i="1"/>
  <c r="L344" i="1"/>
  <c r="S265" i="1"/>
  <c r="O265" i="1"/>
  <c r="M265" i="1"/>
  <c r="N265" i="1"/>
  <c r="L265" i="1"/>
  <c r="S423" i="1"/>
  <c r="N423" i="1"/>
  <c r="O423" i="1"/>
  <c r="L423" i="1"/>
  <c r="M423" i="1"/>
  <c r="S498" i="1"/>
  <c r="N498" i="1"/>
  <c r="L498" i="1"/>
  <c r="M498" i="1"/>
  <c r="O498" i="1"/>
  <c r="S165" i="1"/>
  <c r="N165" i="1"/>
  <c r="O165" i="1"/>
  <c r="L165" i="1"/>
  <c r="M165" i="1"/>
  <c r="S317" i="1"/>
  <c r="N317" i="1"/>
  <c r="L317" i="1"/>
  <c r="O317" i="1"/>
  <c r="M317" i="1"/>
  <c r="S275" i="1"/>
  <c r="N275" i="1"/>
  <c r="O275" i="1"/>
  <c r="M275" i="1"/>
  <c r="L275" i="1"/>
  <c r="S484" i="1"/>
  <c r="N484" i="1"/>
  <c r="M484" i="1"/>
  <c r="L484" i="1"/>
  <c r="O484" i="1"/>
  <c r="S460" i="1"/>
  <c r="N460" i="1"/>
  <c r="O460" i="1"/>
  <c r="L460" i="1"/>
  <c r="M460" i="1"/>
  <c r="S482" i="1"/>
  <c r="L482" i="1"/>
  <c r="O482" i="1"/>
  <c r="N482" i="1"/>
  <c r="M482" i="1"/>
  <c r="S648" i="1"/>
  <c r="O648" i="1"/>
  <c r="M648" i="1"/>
  <c r="N648" i="1"/>
  <c r="L648" i="1"/>
  <c r="S537" i="1"/>
  <c r="O537" i="1"/>
  <c r="M537" i="1"/>
  <c r="L537" i="1"/>
  <c r="N537" i="1"/>
  <c r="S439" i="1"/>
  <c r="O439" i="1"/>
  <c r="L439" i="1"/>
  <c r="M439" i="1"/>
  <c r="N439" i="1"/>
  <c r="S221" i="1"/>
  <c r="N221" i="1"/>
  <c r="L221" i="1"/>
  <c r="O221" i="1"/>
  <c r="M221" i="1"/>
  <c r="S693" i="1"/>
  <c r="O693" i="1"/>
  <c r="N693" i="1"/>
  <c r="L693" i="1"/>
  <c r="M693" i="1"/>
  <c r="S84" i="1"/>
  <c r="M84" i="1"/>
  <c r="L84" i="1"/>
  <c r="N84" i="1"/>
  <c r="O84" i="1"/>
  <c r="S387" i="1"/>
  <c r="O387" i="1"/>
  <c r="N387" i="1"/>
  <c r="M387" i="1"/>
  <c r="L387" i="1"/>
  <c r="S558" i="1"/>
  <c r="N558" i="1"/>
  <c r="L558" i="1"/>
  <c r="O558" i="1"/>
  <c r="M558" i="1"/>
  <c r="S372" i="1"/>
  <c r="O372" i="1"/>
  <c r="M372" i="1"/>
  <c r="N372" i="1"/>
  <c r="L372" i="1"/>
  <c r="S266" i="1"/>
  <c r="O266" i="1"/>
  <c r="N266" i="1"/>
  <c r="M266" i="1"/>
  <c r="L266" i="1"/>
  <c r="S154" i="1"/>
  <c r="O154" i="1"/>
  <c r="N154" i="1"/>
  <c r="L154" i="1"/>
  <c r="M154" i="1"/>
  <c r="S569" i="1"/>
  <c r="O569" i="1"/>
  <c r="N569" i="1"/>
  <c r="M569" i="1"/>
  <c r="L569" i="1"/>
  <c r="S149" i="1"/>
  <c r="M149" i="1"/>
  <c r="L149" i="1"/>
  <c r="O149" i="1"/>
  <c r="N149" i="1"/>
  <c r="S204" i="1"/>
  <c r="N204" i="1"/>
  <c r="O204" i="1"/>
  <c r="L204" i="1"/>
  <c r="M204" i="1"/>
  <c r="S659" i="1"/>
  <c r="N659" i="1"/>
  <c r="L659" i="1"/>
  <c r="M659" i="1"/>
  <c r="O659" i="1"/>
  <c r="S596" i="1"/>
  <c r="L596" i="1"/>
  <c r="O596" i="1"/>
  <c r="M596" i="1"/>
  <c r="N596" i="1"/>
  <c r="S563" i="1"/>
  <c r="O563" i="1"/>
  <c r="L563" i="1"/>
  <c r="N563" i="1"/>
  <c r="M563" i="1"/>
  <c r="S572" i="1"/>
  <c r="N572" i="1"/>
  <c r="L572" i="1"/>
  <c r="O572" i="1"/>
  <c r="M572" i="1"/>
  <c r="S573" i="1"/>
  <c r="N573" i="1"/>
  <c r="L573" i="1"/>
  <c r="O573" i="1"/>
  <c r="M573" i="1"/>
  <c r="S686" i="1"/>
  <c r="M686" i="1"/>
  <c r="N686" i="1"/>
  <c r="L686" i="1"/>
  <c r="O686" i="1"/>
  <c r="S610" i="1"/>
  <c r="M610" i="1"/>
  <c r="L610" i="1"/>
  <c r="N610" i="1"/>
  <c r="O610" i="1"/>
  <c r="S468" i="1"/>
  <c r="M468" i="1"/>
  <c r="O468" i="1"/>
  <c r="N468" i="1"/>
  <c r="L468" i="1"/>
  <c r="S152" i="1"/>
  <c r="O152" i="1"/>
  <c r="M152" i="1"/>
  <c r="N152" i="1"/>
  <c r="L152" i="1"/>
  <c r="S440" i="1"/>
  <c r="O440" i="1"/>
  <c r="N440" i="1"/>
  <c r="M440" i="1"/>
  <c r="L440" i="1"/>
  <c r="S59" i="1"/>
  <c r="O59" i="1"/>
  <c r="N59" i="1"/>
  <c r="M59" i="1"/>
  <c r="L59" i="1"/>
  <c r="S362" i="1"/>
  <c r="O362" i="1"/>
  <c r="L362" i="1"/>
  <c r="M362" i="1"/>
  <c r="N362" i="1"/>
  <c r="S89" i="1"/>
  <c r="O89" i="1"/>
  <c r="N89" i="1"/>
  <c r="M89" i="1"/>
  <c r="L89" i="1"/>
  <c r="S345" i="1"/>
  <c r="O345" i="1"/>
  <c r="M345" i="1"/>
  <c r="N345" i="1"/>
  <c r="L345" i="1"/>
  <c r="S617" i="1"/>
  <c r="O617" i="1"/>
  <c r="M617" i="1"/>
  <c r="L617" i="1"/>
  <c r="N617" i="1"/>
  <c r="S250" i="1"/>
  <c r="O250" i="1"/>
  <c r="L250" i="1"/>
  <c r="M250" i="1"/>
  <c r="N250" i="1"/>
  <c r="S590" i="1"/>
  <c r="N590" i="1"/>
  <c r="M590" i="1"/>
  <c r="L590" i="1"/>
  <c r="O590" i="1"/>
  <c r="S231" i="1"/>
  <c r="M231" i="1"/>
  <c r="N231" i="1"/>
  <c r="O231" i="1"/>
  <c r="L231" i="1"/>
  <c r="S503" i="1"/>
  <c r="O503" i="1"/>
  <c r="N503" i="1"/>
  <c r="L503" i="1"/>
  <c r="M503" i="1"/>
  <c r="S33" i="1"/>
  <c r="O33" i="1"/>
  <c r="N33" i="1"/>
  <c r="L33" i="1"/>
  <c r="M33" i="1"/>
  <c r="S289" i="1"/>
  <c r="O289" i="1"/>
  <c r="N289" i="1"/>
  <c r="M289" i="1"/>
  <c r="L289" i="1"/>
  <c r="S561" i="1"/>
  <c r="L561" i="1"/>
  <c r="O561" i="1"/>
  <c r="N561" i="1"/>
  <c r="M561" i="1"/>
  <c r="S669" i="1"/>
  <c r="N669" i="1"/>
  <c r="L669" i="1"/>
  <c r="M669" i="1"/>
  <c r="O669" i="1"/>
  <c r="S245" i="1"/>
  <c r="O245" i="1"/>
  <c r="L245" i="1"/>
  <c r="N245" i="1"/>
  <c r="M245" i="1"/>
  <c r="S260" i="1"/>
  <c r="N260" i="1"/>
  <c r="L260" i="1"/>
  <c r="M260" i="1"/>
  <c r="O260" i="1"/>
  <c r="S309" i="1"/>
  <c r="O309" i="1"/>
  <c r="M309" i="1"/>
  <c r="L309" i="1"/>
  <c r="N309" i="1"/>
  <c r="S381" i="1"/>
  <c r="N381" i="1"/>
  <c r="L381" i="1"/>
  <c r="O381" i="1"/>
  <c r="M381" i="1"/>
  <c r="S316" i="1"/>
  <c r="N316" i="1"/>
  <c r="L316" i="1"/>
  <c r="O316" i="1"/>
  <c r="M316" i="1"/>
  <c r="S526" i="1"/>
  <c r="N526" i="1"/>
  <c r="O526" i="1"/>
  <c r="M526" i="1"/>
  <c r="L526" i="1"/>
  <c r="S619" i="1"/>
  <c r="O619" i="1"/>
  <c r="M619" i="1"/>
  <c r="L619" i="1"/>
  <c r="N619" i="1"/>
  <c r="S580" i="1"/>
  <c r="N580" i="1"/>
  <c r="L580" i="1"/>
  <c r="M580" i="1"/>
  <c r="O580" i="1"/>
  <c r="S379" i="1"/>
  <c r="O379" i="1"/>
  <c r="N379" i="1"/>
  <c r="M379" i="1"/>
  <c r="L379" i="1"/>
  <c r="S408" i="1"/>
  <c r="O408" i="1"/>
  <c r="M408" i="1"/>
  <c r="N408" i="1"/>
  <c r="L408" i="1"/>
  <c r="S488" i="1"/>
  <c r="O488" i="1"/>
  <c r="M488" i="1"/>
  <c r="N488" i="1"/>
  <c r="L488" i="1"/>
  <c r="S516" i="1"/>
  <c r="L516" i="1"/>
  <c r="O516" i="1"/>
  <c r="M516" i="1"/>
  <c r="N516" i="1"/>
  <c r="S38" i="1"/>
  <c r="N38" i="1"/>
  <c r="O38" i="1"/>
  <c r="L38" i="1"/>
  <c r="M38" i="1"/>
  <c r="S294" i="1"/>
  <c r="M294" i="1"/>
  <c r="O294" i="1"/>
  <c r="L294" i="1"/>
  <c r="N294" i="1"/>
  <c r="S550" i="1"/>
  <c r="N550" i="1"/>
  <c r="M550" i="1"/>
  <c r="O550" i="1"/>
  <c r="L550" i="1"/>
  <c r="S691" i="1"/>
  <c r="M691" i="1"/>
  <c r="N691" i="1"/>
  <c r="L691" i="1"/>
  <c r="O691" i="1"/>
  <c r="S637" i="1"/>
  <c r="N637" i="1"/>
  <c r="L637" i="1"/>
  <c r="M637" i="1"/>
  <c r="O637" i="1"/>
  <c r="S184" i="1"/>
  <c r="O184" i="1"/>
  <c r="N184" i="1"/>
  <c r="L184" i="1"/>
  <c r="M184" i="1"/>
  <c r="S410" i="1"/>
  <c r="O410" i="1"/>
  <c r="M410" i="1"/>
  <c r="N410" i="1"/>
  <c r="L410" i="1"/>
  <c r="S314" i="1"/>
  <c r="O314" i="1"/>
  <c r="N314" i="1"/>
  <c r="M314" i="1"/>
  <c r="L314" i="1"/>
  <c r="S535" i="1"/>
  <c r="L535" i="1"/>
  <c r="N535" i="1"/>
  <c r="M535" i="1"/>
  <c r="O535" i="1"/>
  <c r="S494" i="1"/>
  <c r="N494" i="1"/>
  <c r="O494" i="1"/>
  <c r="M494" i="1"/>
  <c r="L494" i="1"/>
  <c r="S621" i="1"/>
  <c r="N621" i="1"/>
  <c r="L621" i="1"/>
  <c r="O621" i="1"/>
  <c r="M621" i="1"/>
  <c r="S43" i="1"/>
  <c r="O43" i="1"/>
  <c r="M43" i="1"/>
  <c r="L43" i="1"/>
  <c r="N43" i="1"/>
  <c r="S696" i="1"/>
  <c r="O696" i="1"/>
  <c r="M696" i="1"/>
  <c r="L696" i="1"/>
  <c r="N696" i="1"/>
  <c r="S220" i="1"/>
  <c r="N220" i="1"/>
  <c r="L220" i="1"/>
  <c r="O220" i="1"/>
  <c r="M220" i="1"/>
  <c r="S146" i="1"/>
  <c r="M146" i="1"/>
  <c r="L146" i="1"/>
  <c r="O146" i="1"/>
  <c r="N146" i="1"/>
  <c r="S504" i="1"/>
  <c r="O504" i="1"/>
  <c r="N504" i="1"/>
  <c r="M504" i="1"/>
  <c r="L504" i="1"/>
  <c r="S393" i="1"/>
  <c r="O393" i="1"/>
  <c r="M393" i="1"/>
  <c r="N393" i="1"/>
  <c r="L393" i="1"/>
  <c r="S279" i="1"/>
  <c r="L279" i="1"/>
  <c r="N279" i="1"/>
  <c r="O279" i="1"/>
  <c r="M279" i="1"/>
  <c r="S609" i="1"/>
  <c r="O609" i="1"/>
  <c r="M609" i="1"/>
  <c r="L609" i="1"/>
  <c r="N609" i="1"/>
  <c r="S405" i="1"/>
  <c r="M405" i="1"/>
  <c r="N405" i="1"/>
  <c r="L405" i="1"/>
  <c r="O405" i="1"/>
  <c r="S699" i="1"/>
  <c r="O699" i="1"/>
  <c r="M699" i="1"/>
  <c r="N699" i="1"/>
  <c r="L699" i="1"/>
  <c r="S318" i="1"/>
  <c r="N318" i="1"/>
  <c r="M318" i="1"/>
  <c r="O318" i="1"/>
  <c r="L318" i="1"/>
  <c r="S598" i="1"/>
  <c r="L598" i="1"/>
  <c r="O598" i="1"/>
  <c r="N598" i="1"/>
  <c r="M598" i="1"/>
  <c r="S83" i="1"/>
  <c r="M83" i="1"/>
  <c r="N83" i="1"/>
  <c r="L83" i="1"/>
  <c r="O83" i="1"/>
  <c r="S701" i="1"/>
  <c r="L701" i="1"/>
  <c r="O701" i="1"/>
  <c r="N701" i="1"/>
  <c r="M701" i="1"/>
  <c r="S216" i="1"/>
  <c r="O216" i="1"/>
  <c r="L216" i="1"/>
  <c r="N216" i="1"/>
  <c r="M216" i="1"/>
  <c r="S153" i="1"/>
  <c r="O153" i="1"/>
  <c r="N153" i="1"/>
  <c r="M153" i="1"/>
  <c r="L153" i="1"/>
  <c r="S39" i="1"/>
  <c r="N39" i="1"/>
  <c r="O39" i="1"/>
  <c r="L39" i="1"/>
  <c r="M39" i="1"/>
  <c r="S369" i="1"/>
  <c r="M369" i="1"/>
  <c r="N369" i="1"/>
  <c r="L369" i="1"/>
  <c r="O369" i="1"/>
  <c r="S676" i="1"/>
  <c r="N676" i="1"/>
  <c r="L676" i="1"/>
  <c r="O676" i="1"/>
  <c r="M676" i="1"/>
  <c r="S274" i="1"/>
  <c r="O274" i="1"/>
  <c r="M274" i="1"/>
  <c r="L274" i="1"/>
  <c r="N274" i="1"/>
  <c r="S130" i="1"/>
  <c r="N130" i="1"/>
  <c r="O130" i="1"/>
  <c r="M130" i="1"/>
  <c r="L130" i="1"/>
  <c r="S358" i="1"/>
  <c r="L358" i="1"/>
  <c r="O358" i="1"/>
  <c r="N358" i="1"/>
  <c r="M358" i="1"/>
  <c r="S131" i="1"/>
  <c r="M131" i="1"/>
  <c r="N131" i="1"/>
  <c r="O131" i="1"/>
  <c r="L131" i="1"/>
  <c r="S14" i="1"/>
  <c r="N14" i="1"/>
  <c r="O14" i="1"/>
  <c r="M14" i="1"/>
  <c r="L14" i="1"/>
  <c r="S232" i="1"/>
  <c r="O232" i="1"/>
  <c r="M232" i="1"/>
  <c r="N232" i="1"/>
  <c r="L232" i="1"/>
  <c r="S169" i="1"/>
  <c r="O169" i="1"/>
  <c r="M169" i="1"/>
  <c r="L169" i="1"/>
  <c r="N169" i="1"/>
  <c r="S55" i="1"/>
  <c r="O55" i="1"/>
  <c r="M55" i="1"/>
  <c r="L55" i="1"/>
  <c r="N55" i="1"/>
  <c r="S385" i="1"/>
  <c r="O385" i="1"/>
  <c r="N385" i="1"/>
  <c r="M385" i="1"/>
  <c r="L385" i="1"/>
  <c r="S692" i="1"/>
  <c r="O692" i="1"/>
  <c r="N692" i="1"/>
  <c r="M692" i="1"/>
  <c r="L692" i="1"/>
  <c r="S163" i="1"/>
  <c r="M163" i="1"/>
  <c r="O163" i="1"/>
  <c r="L163" i="1"/>
  <c r="N163" i="1"/>
  <c r="S226" i="1"/>
  <c r="L226" i="1"/>
  <c r="N226" i="1"/>
  <c r="M226" i="1"/>
  <c r="O226" i="1"/>
  <c r="S374" i="1"/>
  <c r="M374" i="1"/>
  <c r="N374" i="1"/>
  <c r="L374" i="1"/>
  <c r="O374" i="1"/>
  <c r="S300" i="1"/>
  <c r="N300" i="1"/>
  <c r="L300" i="1"/>
  <c r="O300" i="1"/>
  <c r="M300" i="1"/>
  <c r="S242" i="1"/>
  <c r="L242" i="1"/>
  <c r="O242" i="1"/>
  <c r="N242" i="1"/>
  <c r="M242" i="1"/>
  <c r="S552" i="1"/>
  <c r="O552" i="1"/>
  <c r="M552" i="1"/>
  <c r="N552" i="1"/>
  <c r="L552" i="1"/>
  <c r="S10" i="1"/>
  <c r="O10" i="1"/>
  <c r="M10" i="1"/>
  <c r="N10" i="1"/>
  <c r="L10" i="1"/>
  <c r="S599" i="1"/>
  <c r="L599" i="1"/>
  <c r="M599" i="1"/>
  <c r="O599" i="1"/>
  <c r="N599" i="1"/>
  <c r="S673" i="1"/>
  <c r="O673" i="1"/>
  <c r="L673" i="1"/>
  <c r="M673" i="1"/>
  <c r="N673" i="1"/>
  <c r="S485" i="1"/>
  <c r="N485" i="1"/>
  <c r="M485" i="1"/>
  <c r="L485" i="1"/>
  <c r="O485" i="1"/>
  <c r="S402" i="1"/>
  <c r="L402" i="1"/>
  <c r="M402" i="1"/>
  <c r="N402" i="1"/>
  <c r="O402" i="1"/>
  <c r="S194" i="1"/>
  <c r="N194" i="1"/>
  <c r="L194" i="1"/>
  <c r="M194" i="1"/>
  <c r="O194" i="1"/>
  <c r="S390" i="1"/>
  <c r="N390" i="1"/>
  <c r="M390" i="1"/>
  <c r="L390" i="1"/>
  <c r="O390" i="1"/>
  <c r="S269" i="1"/>
  <c r="N269" i="1"/>
  <c r="O269" i="1"/>
  <c r="L269" i="1"/>
  <c r="M269" i="1"/>
  <c r="S8" i="1"/>
  <c r="O8" i="1"/>
  <c r="L8" i="1"/>
  <c r="N8" i="1"/>
  <c r="M8" i="1"/>
  <c r="S602" i="1"/>
  <c r="O602" i="1"/>
  <c r="N602" i="1"/>
  <c r="M602" i="1"/>
  <c r="L602" i="1"/>
  <c r="S490" i="1"/>
  <c r="O490" i="1"/>
  <c r="M490" i="1"/>
  <c r="N490" i="1"/>
  <c r="L490" i="1"/>
  <c r="S417" i="1"/>
  <c r="O417" i="1"/>
  <c r="N417" i="1"/>
  <c r="L417" i="1"/>
  <c r="M417" i="1"/>
  <c r="S37" i="1"/>
  <c r="N37" i="1"/>
  <c r="O37" i="1"/>
  <c r="L37" i="1"/>
  <c r="M37" i="1"/>
  <c r="S547" i="1"/>
  <c r="O547" i="1"/>
  <c r="N547" i="1"/>
  <c r="M547" i="1"/>
  <c r="L547" i="1"/>
  <c r="S683" i="1"/>
  <c r="O683" i="1"/>
  <c r="M683" i="1"/>
  <c r="N683" i="1"/>
  <c r="L683" i="1"/>
  <c r="S562" i="1"/>
  <c r="L562" i="1"/>
  <c r="O562" i="1"/>
  <c r="N562" i="1"/>
  <c r="M562" i="1"/>
  <c r="S499" i="1"/>
  <c r="N499" i="1"/>
  <c r="L499" i="1"/>
  <c r="M499" i="1"/>
  <c r="O499" i="1"/>
  <c r="S174" i="1"/>
  <c r="N174" i="1"/>
  <c r="M174" i="1"/>
  <c r="O174" i="1"/>
  <c r="L174" i="1"/>
  <c r="S296" i="1"/>
  <c r="O296" i="1"/>
  <c r="M296" i="1"/>
  <c r="L296" i="1"/>
  <c r="N296" i="1"/>
  <c r="S217" i="1"/>
  <c r="O217" i="1"/>
  <c r="M217" i="1"/>
  <c r="L217" i="1"/>
  <c r="N217" i="1"/>
  <c r="S103" i="1"/>
  <c r="N103" i="1"/>
  <c r="L103" i="1"/>
  <c r="O103" i="1"/>
  <c r="M103" i="1"/>
  <c r="S433" i="1"/>
  <c r="O433" i="1"/>
  <c r="M433" i="1"/>
  <c r="N433" i="1"/>
  <c r="L433" i="1"/>
  <c r="S69" i="1"/>
  <c r="O69" i="1"/>
  <c r="M69" i="1"/>
  <c r="L69" i="1"/>
  <c r="N69" i="1"/>
  <c r="S36" i="1"/>
  <c r="N36" i="1"/>
  <c r="O36" i="1"/>
  <c r="L36" i="1"/>
  <c r="M36" i="1"/>
  <c r="S674" i="1"/>
  <c r="L674" i="1"/>
  <c r="O674" i="1"/>
  <c r="M674" i="1"/>
  <c r="N674" i="1"/>
  <c r="S207" i="1"/>
  <c r="N207" i="1"/>
  <c r="O207" i="1"/>
  <c r="L207" i="1"/>
  <c r="M207" i="1"/>
  <c r="S115" i="1"/>
  <c r="M115" i="1"/>
  <c r="N115" i="1"/>
  <c r="O115" i="1"/>
  <c r="L115" i="1"/>
  <c r="S238" i="1"/>
  <c r="N238" i="1"/>
  <c r="M238" i="1"/>
  <c r="O238" i="1"/>
  <c r="L238" i="1"/>
  <c r="S312" i="1"/>
  <c r="O312" i="1"/>
  <c r="N312" i="1"/>
  <c r="M312" i="1"/>
  <c r="L312" i="1"/>
  <c r="S233" i="1"/>
  <c r="O233" i="1"/>
  <c r="N233" i="1"/>
  <c r="M233" i="1"/>
  <c r="L233" i="1"/>
  <c r="S586" i="1"/>
  <c r="O586" i="1"/>
  <c r="M586" i="1"/>
  <c r="N586" i="1"/>
  <c r="L586" i="1"/>
  <c r="S177" i="1"/>
  <c r="M177" i="1"/>
  <c r="N177" i="1"/>
  <c r="O177" i="1"/>
  <c r="L177" i="1"/>
  <c r="S549" i="1"/>
  <c r="N549" i="1"/>
  <c r="M549" i="1"/>
  <c r="O549" i="1"/>
  <c r="L549" i="1"/>
  <c r="S125" i="1"/>
  <c r="N125" i="1"/>
  <c r="L125" i="1"/>
  <c r="M125" i="1"/>
  <c r="O125" i="1"/>
  <c r="S578" i="1"/>
  <c r="N578" i="1"/>
  <c r="L578" i="1"/>
  <c r="M578" i="1"/>
  <c r="O578" i="1"/>
  <c r="S182" i="1"/>
  <c r="O182" i="1"/>
  <c r="L182" i="1"/>
  <c r="N182" i="1"/>
  <c r="M182" i="1"/>
  <c r="S195" i="1"/>
  <c r="M195" i="1"/>
  <c r="N195" i="1"/>
  <c r="L195" i="1"/>
  <c r="O195" i="1"/>
  <c r="S365" i="1"/>
  <c r="N365" i="1"/>
  <c r="L365" i="1"/>
  <c r="O365" i="1"/>
  <c r="M365" i="1"/>
  <c r="S56" i="1"/>
  <c r="O56" i="1"/>
  <c r="N56" i="1"/>
  <c r="M56" i="1"/>
  <c r="L56" i="1"/>
  <c r="S698" i="1"/>
  <c r="O698" i="1"/>
  <c r="M698" i="1"/>
  <c r="L698" i="1"/>
  <c r="N698" i="1"/>
  <c r="S135" i="1"/>
  <c r="L135" i="1"/>
  <c r="M135" i="1"/>
  <c r="O135" i="1"/>
  <c r="N135" i="1"/>
  <c r="S465" i="1"/>
  <c r="N465" i="1"/>
  <c r="O465" i="1"/>
  <c r="M465" i="1"/>
  <c r="L465" i="1"/>
  <c r="S581" i="1"/>
  <c r="N581" i="1"/>
  <c r="O581" i="1"/>
  <c r="M581" i="1"/>
  <c r="L581" i="1"/>
  <c r="S189" i="1"/>
  <c r="N189" i="1"/>
  <c r="L189" i="1"/>
  <c r="O189" i="1"/>
  <c r="M189" i="1"/>
  <c r="S147" i="1"/>
  <c r="M147" i="1"/>
  <c r="N147" i="1"/>
  <c r="L147" i="1"/>
  <c r="O147" i="1"/>
  <c r="S198" i="1"/>
  <c r="M198" i="1"/>
  <c r="O198" i="1"/>
  <c r="N198" i="1"/>
  <c r="L198" i="1"/>
  <c r="C17" i="4"/>
  <c r="C25" i="4" s="1"/>
  <c r="S3" i="1"/>
  <c r="E20" i="4" s="1"/>
  <c r="N3" i="1"/>
  <c r="C21" i="4" s="1"/>
  <c r="L3" i="1"/>
  <c r="C20" i="4" s="1"/>
  <c r="O3" i="1"/>
  <c r="E18" i="4" s="1"/>
  <c r="M3" i="1"/>
  <c r="E17" i="4" s="1"/>
  <c r="S413" i="1"/>
  <c r="N413" i="1"/>
  <c r="L413" i="1"/>
  <c r="O413" i="1"/>
  <c r="M413" i="1"/>
  <c r="S276" i="1"/>
  <c r="O276" i="1"/>
  <c r="L276" i="1"/>
  <c r="N276" i="1"/>
  <c r="M276" i="1"/>
  <c r="S202" i="1"/>
  <c r="O202" i="1"/>
  <c r="L202" i="1"/>
  <c r="M202" i="1"/>
  <c r="N202" i="1"/>
  <c r="S106" i="1"/>
  <c r="O106" i="1"/>
  <c r="M106" i="1"/>
  <c r="N106" i="1"/>
  <c r="L106" i="1"/>
  <c r="S209" i="1"/>
  <c r="N209" i="1"/>
  <c r="M209" i="1"/>
  <c r="O209" i="1"/>
  <c r="L209" i="1"/>
  <c r="S85" i="1"/>
  <c r="M85" i="1"/>
  <c r="L85" i="1"/>
  <c r="N85" i="1"/>
  <c r="O85" i="1"/>
  <c r="S140" i="1"/>
  <c r="N140" i="1"/>
  <c r="O140" i="1"/>
  <c r="L140" i="1"/>
  <c r="M140" i="1"/>
  <c r="S251" i="1"/>
  <c r="O251" i="1"/>
  <c r="N251" i="1"/>
  <c r="M251" i="1"/>
  <c r="L251" i="1"/>
  <c r="S214" i="1"/>
  <c r="M214" i="1"/>
  <c r="O214" i="1"/>
  <c r="N214" i="1"/>
  <c r="L214" i="1"/>
  <c r="S28" i="1"/>
  <c r="N28" i="1"/>
  <c r="L28" i="1"/>
  <c r="O28" i="1"/>
  <c r="M28" i="1"/>
  <c r="S382" i="1"/>
  <c r="N382" i="1"/>
  <c r="L382" i="1"/>
  <c r="O382" i="1"/>
  <c r="M382" i="1"/>
  <c r="S360" i="1"/>
  <c r="O360" i="1"/>
  <c r="M360" i="1"/>
  <c r="L360" i="1"/>
  <c r="N360" i="1"/>
  <c r="S281" i="1"/>
  <c r="O281" i="1"/>
  <c r="M281" i="1"/>
  <c r="L281" i="1"/>
  <c r="N281" i="1"/>
  <c r="S167" i="1"/>
  <c r="N167" i="1"/>
  <c r="M167" i="1"/>
  <c r="O167" i="1"/>
  <c r="L167" i="1"/>
  <c r="S497" i="1"/>
  <c r="N497" i="1"/>
  <c r="L497" i="1"/>
  <c r="M497" i="1"/>
  <c r="O497" i="1"/>
  <c r="S197" i="1"/>
  <c r="M197" i="1"/>
  <c r="N197" i="1"/>
  <c r="L197" i="1"/>
  <c r="O197" i="1"/>
  <c r="S397" i="1"/>
  <c r="N397" i="1"/>
  <c r="O397" i="1"/>
  <c r="L397" i="1"/>
  <c r="M397" i="1"/>
  <c r="S283" i="1"/>
  <c r="O283" i="1"/>
  <c r="M283" i="1"/>
  <c r="N283" i="1"/>
  <c r="L283" i="1"/>
  <c r="S532" i="1"/>
  <c r="L532" i="1"/>
  <c r="M532" i="1"/>
  <c r="N532" i="1"/>
  <c r="O532" i="1"/>
  <c r="S508" i="1"/>
  <c r="N508" i="1"/>
  <c r="L508" i="1"/>
  <c r="M508" i="1"/>
  <c r="O508" i="1"/>
  <c r="S530" i="1"/>
  <c r="M530" i="1"/>
  <c r="N530" i="1"/>
  <c r="L530" i="1"/>
  <c r="O530" i="1"/>
  <c r="S664" i="1"/>
  <c r="O664" i="1"/>
  <c r="M664" i="1"/>
  <c r="N664" i="1"/>
  <c r="L664" i="1"/>
  <c r="S553" i="1"/>
  <c r="O553" i="1"/>
  <c r="M553" i="1"/>
  <c r="N553" i="1"/>
  <c r="L553" i="1"/>
  <c r="S455" i="1"/>
  <c r="L455" i="1"/>
  <c r="M455" i="1"/>
  <c r="O455" i="1"/>
  <c r="N455" i="1"/>
  <c r="S285" i="1"/>
  <c r="N285" i="1"/>
  <c r="L285" i="1"/>
  <c r="O285" i="1"/>
  <c r="M285" i="1"/>
  <c r="S45" i="1"/>
  <c r="N45" i="1"/>
  <c r="L45" i="1"/>
  <c r="O45" i="1"/>
  <c r="M45" i="1"/>
  <c r="S148" i="1"/>
  <c r="M148" i="1"/>
  <c r="O148" i="1"/>
  <c r="L148" i="1"/>
  <c r="N148" i="1"/>
  <c r="S435" i="1"/>
  <c r="O435" i="1"/>
  <c r="M435" i="1"/>
  <c r="N435" i="1"/>
  <c r="L435" i="1"/>
  <c r="S92" i="1"/>
  <c r="N92" i="1"/>
  <c r="L92" i="1"/>
  <c r="M92" i="1"/>
  <c r="O92" i="1"/>
  <c r="S124" i="1"/>
  <c r="N124" i="1"/>
  <c r="L124" i="1"/>
  <c r="O124" i="1"/>
  <c r="M124" i="1"/>
  <c r="S13" i="1"/>
  <c r="N13" i="1"/>
  <c r="O13" i="1"/>
  <c r="L13" i="1"/>
  <c r="M13" i="1"/>
  <c r="S627" i="1"/>
  <c r="N627" i="1"/>
  <c r="M627" i="1"/>
  <c r="O627" i="1"/>
  <c r="L627" i="1"/>
  <c r="S156" i="1"/>
  <c r="N156" i="1"/>
  <c r="L156" i="1"/>
  <c r="O156" i="1"/>
  <c r="M156" i="1"/>
  <c r="S604" i="1"/>
  <c r="N604" i="1"/>
  <c r="L604" i="1"/>
  <c r="M604" i="1"/>
  <c r="O604" i="1"/>
  <c r="S29" i="1"/>
  <c r="N29" i="1"/>
  <c r="L29" i="1"/>
  <c r="M29" i="1"/>
  <c r="O29" i="1"/>
  <c r="S605" i="1"/>
  <c r="N605" i="1"/>
  <c r="L605" i="1"/>
  <c r="M605" i="1"/>
  <c r="O605" i="1"/>
  <c r="S50" i="1"/>
  <c r="N50" i="1"/>
  <c r="L50" i="1"/>
  <c r="M50" i="1"/>
  <c r="O50" i="1"/>
  <c r="S626" i="1"/>
  <c r="M626" i="1"/>
  <c r="O626" i="1"/>
  <c r="L626" i="1"/>
  <c r="N626" i="1"/>
  <c r="S500" i="1"/>
  <c r="O500" i="1"/>
  <c r="N500" i="1"/>
  <c r="L500" i="1"/>
  <c r="M500" i="1"/>
  <c r="S168" i="1"/>
  <c r="O168" i="1"/>
  <c r="M168" i="1"/>
  <c r="N168" i="1"/>
  <c r="L168" i="1"/>
  <c r="S456" i="1"/>
  <c r="O456" i="1"/>
  <c r="M456" i="1"/>
  <c r="L456" i="1"/>
  <c r="N456" i="1"/>
  <c r="S107" i="1"/>
  <c r="O107" i="1"/>
  <c r="M107" i="1"/>
  <c r="N107" i="1"/>
  <c r="L107" i="1"/>
  <c r="S394" i="1"/>
  <c r="O394" i="1"/>
  <c r="N394" i="1"/>
  <c r="M394" i="1"/>
  <c r="L394" i="1"/>
  <c r="S105" i="1"/>
  <c r="O105" i="1"/>
  <c r="M105" i="1"/>
  <c r="N105" i="1"/>
  <c r="L105" i="1"/>
  <c r="S361" i="1"/>
  <c r="O361" i="1"/>
  <c r="M361" i="1"/>
  <c r="L361" i="1"/>
  <c r="N361" i="1"/>
  <c r="S633" i="1"/>
  <c r="O633" i="1"/>
  <c r="N633" i="1"/>
  <c r="M633" i="1"/>
  <c r="L633" i="1"/>
  <c r="S282" i="1"/>
  <c r="O282" i="1"/>
  <c r="L282" i="1"/>
  <c r="M282" i="1"/>
  <c r="N282" i="1"/>
  <c r="S702" i="1"/>
  <c r="O702" i="1"/>
  <c r="N702" i="1"/>
  <c r="M702" i="1"/>
  <c r="L702" i="1"/>
  <c r="S247" i="1"/>
  <c r="O247" i="1"/>
  <c r="L247" i="1"/>
  <c r="M247" i="1"/>
  <c r="N247" i="1"/>
  <c r="S519" i="1"/>
  <c r="L519" i="1"/>
  <c r="M519" i="1"/>
  <c r="O519" i="1"/>
  <c r="N519" i="1"/>
  <c r="S49" i="1"/>
  <c r="O49" i="1"/>
  <c r="L49" i="1"/>
  <c r="M49" i="1"/>
  <c r="N49" i="1"/>
  <c r="S305" i="1"/>
  <c r="L305" i="1"/>
  <c r="O305" i="1"/>
  <c r="N305" i="1"/>
  <c r="M305" i="1"/>
  <c r="S577" i="1"/>
  <c r="N577" i="1"/>
  <c r="L577" i="1"/>
  <c r="M577" i="1"/>
  <c r="O577" i="1"/>
  <c r="S398" i="1"/>
  <c r="N398" i="1"/>
  <c r="L398" i="1"/>
  <c r="O398" i="1"/>
  <c r="M398" i="1"/>
  <c r="S293" i="1"/>
  <c r="N293" i="1"/>
  <c r="M293" i="1"/>
  <c r="O293" i="1"/>
  <c r="L293" i="1"/>
  <c r="S308" i="1"/>
  <c r="O308" i="1"/>
  <c r="L308" i="1"/>
  <c r="N308" i="1"/>
  <c r="M308" i="1"/>
  <c r="S341" i="1"/>
  <c r="N341" i="1"/>
  <c r="L341" i="1"/>
  <c r="O341" i="1"/>
  <c r="M341" i="1"/>
  <c r="S445" i="1"/>
  <c r="N445" i="1"/>
  <c r="L445" i="1"/>
  <c r="O445" i="1"/>
  <c r="M445" i="1"/>
  <c r="S412" i="1"/>
  <c r="N412" i="1"/>
  <c r="L412" i="1"/>
  <c r="O412" i="1"/>
  <c r="M412" i="1"/>
  <c r="S603" i="1"/>
  <c r="O603" i="1"/>
  <c r="M603" i="1"/>
  <c r="N603" i="1"/>
  <c r="L603" i="1"/>
  <c r="S651" i="1"/>
  <c r="O651" i="1"/>
  <c r="M651" i="1"/>
  <c r="N651" i="1"/>
  <c r="L651" i="1"/>
  <c r="S11" i="1"/>
  <c r="O11" i="1"/>
  <c r="N11" i="1"/>
  <c r="M11" i="1"/>
  <c r="L11" i="1"/>
  <c r="S411" i="1"/>
  <c r="O411" i="1"/>
  <c r="M411" i="1"/>
  <c r="N411" i="1"/>
  <c r="L411" i="1"/>
  <c r="S380" i="1"/>
  <c r="N380" i="1"/>
  <c r="L380" i="1"/>
  <c r="M380" i="1"/>
  <c r="O380" i="1"/>
  <c r="S253" i="1"/>
  <c r="N253" i="1"/>
  <c r="L253" i="1"/>
  <c r="M253" i="1"/>
  <c r="O253" i="1"/>
  <c r="S407" i="1"/>
  <c r="M407" i="1"/>
  <c r="O407" i="1"/>
  <c r="L407" i="1"/>
  <c r="N407" i="1"/>
  <c r="S54" i="1"/>
  <c r="N54" i="1"/>
  <c r="M54" i="1"/>
  <c r="L54" i="1"/>
  <c r="O54" i="1"/>
  <c r="S310" i="1"/>
  <c r="N310" i="1"/>
  <c r="M310" i="1"/>
  <c r="O310" i="1"/>
  <c r="L310" i="1"/>
  <c r="S566" i="1"/>
  <c r="O566" i="1"/>
  <c r="M566" i="1"/>
  <c r="L566" i="1"/>
  <c r="N566" i="1"/>
  <c r="S671" i="1"/>
  <c r="N671" i="1"/>
  <c r="L671" i="1"/>
  <c r="O671" i="1"/>
  <c r="M671" i="1"/>
  <c r="E25" i="4" l="1"/>
  <c r="E27" i="4" s="1"/>
  <c r="D28" i="4" a="1"/>
  <c r="D28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<sst xmlns="http://schemas.openxmlformats.org/spreadsheetml/2006/main" count="1567" uniqueCount="1420">
  <si>
    <t>No</t>
  </si>
  <si>
    <t>NIP</t>
  </si>
  <si>
    <t>Nama Pegawai</t>
  </si>
  <si>
    <t>Divisi</t>
  </si>
  <si>
    <t>Gaji Pokok</t>
  </si>
  <si>
    <t>Posisi</t>
  </si>
  <si>
    <t>Lembur</t>
  </si>
  <si>
    <t>THR</t>
  </si>
  <si>
    <t>Perjalanan Dinas</t>
  </si>
  <si>
    <t>Bonus Transport</t>
  </si>
  <si>
    <t>Cicilan</t>
  </si>
  <si>
    <t>100000/jam</t>
  </si>
  <si>
    <t>BPJS Ketenagakerjaan</t>
  </si>
  <si>
    <t>BPJS Kesehatan</t>
  </si>
  <si>
    <t>Perusahaan</t>
  </si>
  <si>
    <t>Pegawai</t>
  </si>
  <si>
    <t>Tahun Masuk</t>
  </si>
  <si>
    <t>&gt;=12</t>
  </si>
  <si>
    <t>1* gaji penuh</t>
  </si>
  <si>
    <t>&lt;12</t>
  </si>
  <si>
    <t>bulan/12 gaji penuh</t>
  </si>
  <si>
    <t>Transport</t>
  </si>
  <si>
    <t>200000 * jumlah</t>
  </si>
  <si>
    <t>Kode</t>
  </si>
  <si>
    <t>Staff</t>
  </si>
  <si>
    <t>Senior Staff</t>
  </si>
  <si>
    <t>Supervisor</t>
  </si>
  <si>
    <t>Assistant Manager</t>
  </si>
  <si>
    <t>Manager</t>
  </si>
  <si>
    <t>Human Resources (HR)</t>
  </si>
  <si>
    <t>Finance</t>
  </si>
  <si>
    <t>Information Technology (IT)</t>
  </si>
  <si>
    <t>Marketing</t>
  </si>
  <si>
    <t>Sales</t>
  </si>
  <si>
    <t>Operations</t>
  </si>
  <si>
    <t>Logistics</t>
  </si>
  <si>
    <t>Gaji</t>
  </si>
  <si>
    <t>H</t>
  </si>
  <si>
    <t>F</t>
  </si>
  <si>
    <t>L</t>
  </si>
  <si>
    <t>I</t>
  </si>
  <si>
    <t>M</t>
  </si>
  <si>
    <t>S</t>
  </si>
  <si>
    <t>O</t>
  </si>
  <si>
    <t>P1</t>
  </si>
  <si>
    <t>P2</t>
  </si>
  <si>
    <t>P3</t>
  </si>
  <si>
    <t>P4</t>
  </si>
  <si>
    <t>P5</t>
  </si>
  <si>
    <t>2021-H-P1-0001</t>
  </si>
  <si>
    <t>2025-H-P1-0001</t>
  </si>
  <si>
    <t>Kartika Suryadi</t>
  </si>
  <si>
    <t>2016-M-P2-0001</t>
  </si>
  <si>
    <t>Dewi Wibowo</t>
  </si>
  <si>
    <t>2025-S-P2-0001</t>
  </si>
  <si>
    <t>Bayu Panjaitan</t>
  </si>
  <si>
    <t>2021-L-P1-0001</t>
  </si>
  <si>
    <t>Ayu Junaedi</t>
  </si>
  <si>
    <t>2020-M-P1-0001</t>
  </si>
  <si>
    <t>Ani Syahputra</t>
  </si>
  <si>
    <t>2016-M-P1-0001</t>
  </si>
  <si>
    <t>Satrio Aritonang</t>
  </si>
  <si>
    <t>2025-F-P3-0001</t>
  </si>
  <si>
    <t>Hendra Purnomo</t>
  </si>
  <si>
    <t>2017-L-P1-0001</t>
  </si>
  <si>
    <t>Rika Firmansyah</t>
  </si>
  <si>
    <t>2023-S-P1-0001</t>
  </si>
  <si>
    <t>Eka Sinaga</t>
  </si>
  <si>
    <t>2015-F-P3-0001</t>
  </si>
  <si>
    <t>Dian Simanjuntak</t>
  </si>
  <si>
    <t>2020-F-P2-0001</t>
  </si>
  <si>
    <t>Irfan Prasetyo</t>
  </si>
  <si>
    <t>2023-M-P1-0001</t>
  </si>
  <si>
    <t>Panji Nasution</t>
  </si>
  <si>
    <t>2017-M-P2-0001</t>
  </si>
  <si>
    <t>Bimo Pratama</t>
  </si>
  <si>
    <t>2024-H-P1-0001</t>
  </si>
  <si>
    <t>Qori Situmorang</t>
  </si>
  <si>
    <t>2025-M-P3-0001</t>
  </si>
  <si>
    <t>Cahyo Prasetyo</t>
  </si>
  <si>
    <t>2015-S-P4-0001</t>
  </si>
  <si>
    <t>Nining Manurung</t>
  </si>
  <si>
    <t>2025-M-P2-0001</t>
  </si>
  <si>
    <t>Indah Utomo</t>
  </si>
  <si>
    <t>2015-H-P4-0001</t>
  </si>
  <si>
    <t>Sari Suryadi</t>
  </si>
  <si>
    <t>2022-O-P1-0001</t>
  </si>
  <si>
    <t>Xenia Sitompul</t>
  </si>
  <si>
    <t>2019-M-P4-0001</t>
  </si>
  <si>
    <t>Bagas Permata</t>
  </si>
  <si>
    <t>2025-S-P1-0001</t>
  </si>
  <si>
    <t>Lukman Panjaitan</t>
  </si>
  <si>
    <t>2015-M-P2-0001</t>
  </si>
  <si>
    <t>Mira Purnomo</t>
  </si>
  <si>
    <t>2015-O-P1-0001</t>
  </si>
  <si>
    <t>Hana Suryadi</t>
  </si>
  <si>
    <t>2017-S-P4-0001</t>
  </si>
  <si>
    <t>Lia Simatupang</t>
  </si>
  <si>
    <t>2016-H-P2-0001</t>
  </si>
  <si>
    <t>Wulan Nasution</t>
  </si>
  <si>
    <t>2016-H-P2-0002</t>
  </si>
  <si>
    <t>Yanti Hidayat</t>
  </si>
  <si>
    <t>2021-F-P1-0001</t>
  </si>
  <si>
    <t>Melati Saputra</t>
  </si>
  <si>
    <t>2023-O-P1-0001</t>
  </si>
  <si>
    <t>Nur Junaedi</t>
  </si>
  <si>
    <t>Budi Sinaga</t>
  </si>
  <si>
    <t>2023-S-P3-0001</t>
  </si>
  <si>
    <t>Indah Anggraini</t>
  </si>
  <si>
    <t>2015-S-P1-0001</t>
  </si>
  <si>
    <t>Agus Sihombing</t>
  </si>
  <si>
    <t>2023-H-P4-0001</t>
  </si>
  <si>
    <t>Joko Silalahi</t>
  </si>
  <si>
    <t>2018-M-P2-0001</t>
  </si>
  <si>
    <t>Okta Wibowo</t>
  </si>
  <si>
    <t>2025-S-P1-0002</t>
  </si>
  <si>
    <t>Nining Simanjuntak</t>
  </si>
  <si>
    <t>2016-H-P2-0003</t>
  </si>
  <si>
    <t>Oscar Hidayat</t>
  </si>
  <si>
    <t>2020-H-P4-0001</t>
  </si>
  <si>
    <t>Novi Kurniawan</t>
  </si>
  <si>
    <t>2025-M-P1-0001</t>
  </si>
  <si>
    <t>Nanda Setiadi</t>
  </si>
  <si>
    <t>2016-S-P2-0001</t>
  </si>
  <si>
    <t>Rahmat Kurniawan</t>
  </si>
  <si>
    <t>2025-O-P1-0001</t>
  </si>
  <si>
    <t>Imam Handoko</t>
  </si>
  <si>
    <t>2015-L-P3-0001</t>
  </si>
  <si>
    <t>Prita Handoko</t>
  </si>
  <si>
    <t>2023-H-P1-0001</t>
  </si>
  <si>
    <t>Wibowo Susanto</t>
  </si>
  <si>
    <t>2021-F-P1-0002</t>
  </si>
  <si>
    <t>Ricky Kusuma</t>
  </si>
  <si>
    <t>2023-O-P2-0001</t>
  </si>
  <si>
    <t>Okta Iskandar</t>
  </si>
  <si>
    <t>2017-I-P1-0001</t>
  </si>
  <si>
    <t>Alif Wahyudi</t>
  </si>
  <si>
    <t>2016-I-P4-0001</t>
  </si>
  <si>
    <t>Hendro Purnomo</t>
  </si>
  <si>
    <t>2018-F-P1-0001</t>
  </si>
  <si>
    <t>Hadi Simanjuntak</t>
  </si>
  <si>
    <t>2020-S-P2-0001</t>
  </si>
  <si>
    <t>Vino Sitompul</t>
  </si>
  <si>
    <t>2019-F-P2-0001</t>
  </si>
  <si>
    <t>Nining Kusuma</t>
  </si>
  <si>
    <t>2020-I-P2-0001</t>
  </si>
  <si>
    <t>Hana Setiawan</t>
  </si>
  <si>
    <t>2021-H-P2-0001</t>
  </si>
  <si>
    <t>Miko Ramadhan</t>
  </si>
  <si>
    <t>2020-M-P1-0002</t>
  </si>
  <si>
    <t>Fitri Syahputra</t>
  </si>
  <si>
    <t>2021-S-P1-0001</t>
  </si>
  <si>
    <t>Eko Anggraini</t>
  </si>
  <si>
    <t>2024-M-P1-0001</t>
  </si>
  <si>
    <t>Nanda Santoso</t>
  </si>
  <si>
    <t>2024-S-P1-0001</t>
  </si>
  <si>
    <t>Fauzi Panjaitan</t>
  </si>
  <si>
    <t>2017-S-P1-0001</t>
  </si>
  <si>
    <t>Hana Wardana</t>
  </si>
  <si>
    <t>2018-S-P1-0001</t>
  </si>
  <si>
    <t>Putri Susanto</t>
  </si>
  <si>
    <t>2016-I-P2-0001</t>
  </si>
  <si>
    <t>Satrio Simatupang</t>
  </si>
  <si>
    <t>2017-S-P3-0001</t>
  </si>
  <si>
    <t>Bimo Ridwan</t>
  </si>
  <si>
    <t>2023-I-P1-0001</t>
  </si>
  <si>
    <t>Melati Setiawan</t>
  </si>
  <si>
    <t>2024-L-P5-0001</t>
  </si>
  <si>
    <t>Fauzi Aritonang</t>
  </si>
  <si>
    <t>2022-I-P1-0001</t>
  </si>
  <si>
    <t>Melati Yulianto</t>
  </si>
  <si>
    <t>2022-H-P3-0001</t>
  </si>
  <si>
    <t>Yusuf Firmansyah</t>
  </si>
  <si>
    <t>2018-I-P3-0001</t>
  </si>
  <si>
    <t>Yoga Permata</t>
  </si>
  <si>
    <t>2022-I-P1-0002</t>
  </si>
  <si>
    <t>Rani Sinaga</t>
  </si>
  <si>
    <t>2024-I-P2-0001</t>
  </si>
  <si>
    <t>Wulan Setiadi</t>
  </si>
  <si>
    <t>2023-O-P2-0002</t>
  </si>
  <si>
    <t>Bayu Hutapea</t>
  </si>
  <si>
    <t>2020-S-P2-0002</t>
  </si>
  <si>
    <t>Maya Syahputra</t>
  </si>
  <si>
    <t>2023-H-P4-0002</t>
  </si>
  <si>
    <t>Mira Simatupang</t>
  </si>
  <si>
    <t>2022-F-P1-0001</t>
  </si>
  <si>
    <t>Doni Halim</t>
  </si>
  <si>
    <t>2021-L-P3-0001</t>
  </si>
  <si>
    <t>Rani Handoko</t>
  </si>
  <si>
    <t>2020-F-P2-0002</t>
  </si>
  <si>
    <t>Yasmin Prasetyo</t>
  </si>
  <si>
    <t>2015-M-P1-0001</t>
  </si>
  <si>
    <t>Eko Marpaung</t>
  </si>
  <si>
    <t>2020-F-P2-0003</t>
  </si>
  <si>
    <t>Winda Maulana</t>
  </si>
  <si>
    <t>2024-H-P4-0001</t>
  </si>
  <si>
    <t>Lia Ramadhan</t>
  </si>
  <si>
    <t>2025-F-P1-0001</t>
  </si>
  <si>
    <t>Cahyo Setiadi</t>
  </si>
  <si>
    <t>2015-L-P2-0001</t>
  </si>
  <si>
    <t>Umar Utomo</t>
  </si>
  <si>
    <t>2021-O-P2-0001</t>
  </si>
  <si>
    <t>Citra Utomo</t>
  </si>
  <si>
    <t>2017-S-P2-0001</t>
  </si>
  <si>
    <t>Qonita Firmansyah</t>
  </si>
  <si>
    <t>2024-L-P1-0001</t>
  </si>
  <si>
    <t>Melati Wibowo</t>
  </si>
  <si>
    <t>2022-M-P2-0001</t>
  </si>
  <si>
    <t>Doni Wahyudi</t>
  </si>
  <si>
    <t>2018-L-P3-0001</t>
  </si>
  <si>
    <t>Yanti Firmansyah</t>
  </si>
  <si>
    <t>2018-H-P1-0001</t>
  </si>
  <si>
    <t>Aditya Hutapea</t>
  </si>
  <si>
    <t>2022-I-P3-0001</t>
  </si>
  <si>
    <t>Nur Kurniawan</t>
  </si>
  <si>
    <t>2024-L-P2-0001</t>
  </si>
  <si>
    <t>Ira Lesmana</t>
  </si>
  <si>
    <t>2019-L-P1-0001</t>
  </si>
  <si>
    <t>2017-F-P1-0001</t>
  </si>
  <si>
    <t>Fani Firmansyah</t>
  </si>
  <si>
    <t>2019-F-P1-0001</t>
  </si>
  <si>
    <t>Tono Santoso</t>
  </si>
  <si>
    <t>2015-M-P1-0002</t>
  </si>
  <si>
    <t>Eko Yulianto</t>
  </si>
  <si>
    <t>2022-I-P1-0003</t>
  </si>
  <si>
    <t>Agus Handoko</t>
  </si>
  <si>
    <t>2024-S-P3-0001</t>
  </si>
  <si>
    <t>Indah Susanto</t>
  </si>
  <si>
    <t>2018-H-P2-0001</t>
  </si>
  <si>
    <t>Rani Silalahi</t>
  </si>
  <si>
    <t>2022-I-P1-0004</t>
  </si>
  <si>
    <t>Mira Nasution</t>
  </si>
  <si>
    <t>2016-O-P1-0001</t>
  </si>
  <si>
    <t>Ayu Handoko</t>
  </si>
  <si>
    <t>2023-H-P1-0002</t>
  </si>
  <si>
    <t>Aditya Panjaitan</t>
  </si>
  <si>
    <t>2018-L-P3-0002</t>
  </si>
  <si>
    <t>Tina Situmorang</t>
  </si>
  <si>
    <t>2025-M-P2-0002</t>
  </si>
  <si>
    <t>Putri Nasution</t>
  </si>
  <si>
    <t>2017-H-P1-0001</t>
  </si>
  <si>
    <t>Sari Silalahi</t>
  </si>
  <si>
    <t>2019-S-P2-0001</t>
  </si>
  <si>
    <t>Rahmat Manurung</t>
  </si>
  <si>
    <t>2015-I-P3-0001</t>
  </si>
  <si>
    <t>Nita Handoko</t>
  </si>
  <si>
    <t>2024-H-P5-0001</t>
  </si>
  <si>
    <t>Vino Firmansyah</t>
  </si>
  <si>
    <t>2022-L-P1-0001</t>
  </si>
  <si>
    <t>2020-I-P1-0001</t>
  </si>
  <si>
    <t>Rika Hidayat</t>
  </si>
  <si>
    <t>2025-I-P3-0001</t>
  </si>
  <si>
    <t>Nanda Kusuma</t>
  </si>
  <si>
    <t>2016-O-P2-0001</t>
  </si>
  <si>
    <t>Hana Santoso</t>
  </si>
  <si>
    <t>2023-L-P2-0001</t>
  </si>
  <si>
    <t>Gita Yulianto</t>
  </si>
  <si>
    <t>2023-F-P4-0001</t>
  </si>
  <si>
    <t>Fauzi Fadillah</t>
  </si>
  <si>
    <t>2018-S-P1-0002</t>
  </si>
  <si>
    <t>2016-I-P5-0001</t>
  </si>
  <si>
    <t>Taufik Susanto</t>
  </si>
  <si>
    <t>2021-O-P2-0002</t>
  </si>
  <si>
    <t>Hendro Suryadi</t>
  </si>
  <si>
    <t>2023-S-P4-0001</t>
  </si>
  <si>
    <t>Joko Firmansyah</t>
  </si>
  <si>
    <t>2019-O-P2-0001</t>
  </si>
  <si>
    <t>Umar Hutapea</t>
  </si>
  <si>
    <t>2023-O-P2-0003</t>
  </si>
  <si>
    <t>Gilang Halim</t>
  </si>
  <si>
    <t>2021-H-P1-0002</t>
  </si>
  <si>
    <t>Hendro Maulana</t>
  </si>
  <si>
    <t>2017-M-P5-0001</t>
  </si>
  <si>
    <t>Anton Hidayat</t>
  </si>
  <si>
    <t>2017-I-P4-0001</t>
  </si>
  <si>
    <t>Indah Saputra</t>
  </si>
  <si>
    <t>2021-S-P1-0002</t>
  </si>
  <si>
    <t>Anton Ramadhan</t>
  </si>
  <si>
    <t>2022-O-P2-0001</t>
  </si>
  <si>
    <t>Okta Saputra</t>
  </si>
  <si>
    <t>2016-I-P5-0002</t>
  </si>
  <si>
    <t>Xenia Yulianto</t>
  </si>
  <si>
    <t>2019-H-P1-0001</t>
  </si>
  <si>
    <t>Rina Kurniawan</t>
  </si>
  <si>
    <t>2023-I-P2-0001</t>
  </si>
  <si>
    <t>Sri Nugroho</t>
  </si>
  <si>
    <t>2022-M-P1-0001</t>
  </si>
  <si>
    <t>Eka Yulianto</t>
  </si>
  <si>
    <t>2022-L-P2-0001</t>
  </si>
  <si>
    <t>Slamet Saputra</t>
  </si>
  <si>
    <t>2025-I-P3-0002</t>
  </si>
  <si>
    <t>Gilang Setiadi</t>
  </si>
  <si>
    <t>2021-M-P1-0001</t>
  </si>
  <si>
    <t>Puspita Fadillah</t>
  </si>
  <si>
    <t>2024-O-P3-0001</t>
  </si>
  <si>
    <t>Winda Pratama</t>
  </si>
  <si>
    <t>2018-M-P3-0001</t>
  </si>
  <si>
    <t>Bayu Yulianto</t>
  </si>
  <si>
    <t>2025-S-P3-0001</t>
  </si>
  <si>
    <t>Satrio Hidayat</t>
  </si>
  <si>
    <t>2022-H-P2-0001</t>
  </si>
  <si>
    <t>Vera Gunawan</t>
  </si>
  <si>
    <t>2021-F-P1-0003</t>
  </si>
  <si>
    <t>Julia Utomo</t>
  </si>
  <si>
    <t>2022-O-P1-0002</t>
  </si>
  <si>
    <t>Yanti Setiawan</t>
  </si>
  <si>
    <t>2025-S-P2-0002</t>
  </si>
  <si>
    <t>Irfan Rajagukguk</t>
  </si>
  <si>
    <t>2023-H-P2-0001</t>
  </si>
  <si>
    <t>Vino Iskandar</t>
  </si>
  <si>
    <t>2016-S-P1-0001</t>
  </si>
  <si>
    <t>Dewi Aritonang</t>
  </si>
  <si>
    <t>2022-S-P1-0001</t>
  </si>
  <si>
    <t>Aditya Setiawan</t>
  </si>
  <si>
    <t>2022-H-P1-0001</t>
  </si>
  <si>
    <t>Miko Gunawan</t>
  </si>
  <si>
    <t>2023-I-P2-0002</t>
  </si>
  <si>
    <t>Vera Susanto</t>
  </si>
  <si>
    <t>2021-L-P1-0002</t>
  </si>
  <si>
    <t>Novi Permata</t>
  </si>
  <si>
    <t>2025-L-P2-0001</t>
  </si>
  <si>
    <t>Taufik Lesmana</t>
  </si>
  <si>
    <t>2016-O-P3-0001</t>
  </si>
  <si>
    <t>Nur Wardana</t>
  </si>
  <si>
    <t>2020-F-P5-0001</t>
  </si>
  <si>
    <t>Oscar Permata</t>
  </si>
  <si>
    <t>2020-O-P1-0001</t>
  </si>
  <si>
    <t>Qori Santoso</t>
  </si>
  <si>
    <t>2019-O-P1-0001</t>
  </si>
  <si>
    <t>Umar Wijaya</t>
  </si>
  <si>
    <t>2024-L-P1-0002</t>
  </si>
  <si>
    <t>Nining Pratama</t>
  </si>
  <si>
    <t>2016-I-P2-0002</t>
  </si>
  <si>
    <t>Ricky Manurung</t>
  </si>
  <si>
    <t>2015-S-P3-0001</t>
  </si>
  <si>
    <t>Umar Tampubolon</t>
  </si>
  <si>
    <t>2022-O-P2-0002</t>
  </si>
  <si>
    <t>Sinta Hidayat</t>
  </si>
  <si>
    <t>2016-L-P2-0001</t>
  </si>
  <si>
    <t>Joko Gunawan</t>
  </si>
  <si>
    <t>2023-L-P2-0002</t>
  </si>
  <si>
    <t>Nita Nasution</t>
  </si>
  <si>
    <t>2023-S-P4-0002</t>
  </si>
  <si>
    <t>Citra Panjaitan</t>
  </si>
  <si>
    <t>2021-S-P1-0003</t>
  </si>
  <si>
    <t>Bagas Halim</t>
  </si>
  <si>
    <t>2022-H-P1-0002</t>
  </si>
  <si>
    <t>Hendra Wibowo</t>
  </si>
  <si>
    <t>2015-M-P5-0001</t>
  </si>
  <si>
    <t>Kiki Wahyudi</t>
  </si>
  <si>
    <t>2021-O-P4-0001</t>
  </si>
  <si>
    <t>Agus Kurniawan</t>
  </si>
  <si>
    <t>2023-F-P1-0001</t>
  </si>
  <si>
    <t>Fani Purnomo</t>
  </si>
  <si>
    <t>2019-M-P1-0001</t>
  </si>
  <si>
    <t>Bagas Rajagukguk</t>
  </si>
  <si>
    <t>2019-H-P1-0002</t>
  </si>
  <si>
    <t>Tina Junaedi</t>
  </si>
  <si>
    <t>2017-M-P2-0002</t>
  </si>
  <si>
    <t>Joko Susanto</t>
  </si>
  <si>
    <t>2021-I-P2-0001</t>
  </si>
  <si>
    <t>Slamet Utomo</t>
  </si>
  <si>
    <t>2024-H-P4-0002</t>
  </si>
  <si>
    <t>Indah Nugroho</t>
  </si>
  <si>
    <t>2025-I-P2-0001</t>
  </si>
  <si>
    <t>Fauzi Siregar</t>
  </si>
  <si>
    <t>2016-L-P2-0002</t>
  </si>
  <si>
    <t>Mira Hutapea</t>
  </si>
  <si>
    <t>2021-M-P1-0002</t>
  </si>
  <si>
    <t>Fajar Setiadi</t>
  </si>
  <si>
    <t>2020-H-P1-0001</t>
  </si>
  <si>
    <t>Winda Nasution</t>
  </si>
  <si>
    <t>2023-M-P3-0001</t>
  </si>
  <si>
    <t>Wulan Saputra</t>
  </si>
  <si>
    <t>2016-O-P1-0002</t>
  </si>
  <si>
    <t>Bagas Simatupang</t>
  </si>
  <si>
    <t>2021-H-P5-0001</t>
  </si>
  <si>
    <t>Ratna Aritonang</t>
  </si>
  <si>
    <t>2016-F-P2-0001</t>
  </si>
  <si>
    <t>Maya Tampubolon</t>
  </si>
  <si>
    <t>2020-O-P1-0002</t>
  </si>
  <si>
    <t>Hana Yulianto</t>
  </si>
  <si>
    <t>2020-S-P5-0001</t>
  </si>
  <si>
    <t>2017-M-P1-0001</t>
  </si>
  <si>
    <t>Xenia Prasetyo</t>
  </si>
  <si>
    <t>2024-I-P3-0001</t>
  </si>
  <si>
    <t>Oscar Prasetyo</t>
  </si>
  <si>
    <t>2020-F-P2-0004</t>
  </si>
  <si>
    <t>Hendro Panjaitan</t>
  </si>
  <si>
    <t>2023-H-P1-0003</t>
  </si>
  <si>
    <t>Dina Kusuma</t>
  </si>
  <si>
    <t>2016-M-P2-0002</t>
  </si>
  <si>
    <t>Tuti Situmorang</t>
  </si>
  <si>
    <t>2024-S-P1-0002</t>
  </si>
  <si>
    <t>Nita Marpaung</t>
  </si>
  <si>
    <t>2020-S-P1-0001</t>
  </si>
  <si>
    <t>Taufik Rahayu</t>
  </si>
  <si>
    <t>2023-M-P1-0002</t>
  </si>
  <si>
    <t>2025-S-P1-0003</t>
  </si>
  <si>
    <t>2025-M-P4-0001</t>
  </si>
  <si>
    <t>Anton Wibowo</t>
  </si>
  <si>
    <t>2025-S-P2-0003</t>
  </si>
  <si>
    <t>Eko Silalahi</t>
  </si>
  <si>
    <t>2021-S-P3-0001</t>
  </si>
  <si>
    <t>Eko Wardana</t>
  </si>
  <si>
    <t>2023-L-P1-0001</t>
  </si>
  <si>
    <t>Sari Rahayu</t>
  </si>
  <si>
    <t>2017-F-P1-0002</t>
  </si>
  <si>
    <t>Bambang Manurung</t>
  </si>
  <si>
    <t>2024-F-P2-0001</t>
  </si>
  <si>
    <t>2021-L-P2-0001</t>
  </si>
  <si>
    <t>Yusuf Panjaitan</t>
  </si>
  <si>
    <t>2018-L-P5-0001</t>
  </si>
  <si>
    <t>Hendro Anggraini</t>
  </si>
  <si>
    <t>2021-M-P2-0001</t>
  </si>
  <si>
    <t>Slamet Anggraini</t>
  </si>
  <si>
    <t>2022-O-P1-0003</t>
  </si>
  <si>
    <t>Yuni Maulana</t>
  </si>
  <si>
    <t>2017-L-P2-0001</t>
  </si>
  <si>
    <t>Hana Susanto</t>
  </si>
  <si>
    <t>2015-I-P1-0001</t>
  </si>
  <si>
    <t>Krisna Utomo</t>
  </si>
  <si>
    <t>2020-H-P3-0001</t>
  </si>
  <si>
    <t>Qonita Wahyudi</t>
  </si>
  <si>
    <t>2022-S-P3-0001</t>
  </si>
  <si>
    <t>Xenia Maulana</t>
  </si>
  <si>
    <t>2019-F-P3-0001</t>
  </si>
  <si>
    <t>Nanda Syahputra</t>
  </si>
  <si>
    <t>2019-F-P1-0002</t>
  </si>
  <si>
    <t>Agus Suryadi</t>
  </si>
  <si>
    <t>2022-M-P2-0002</t>
  </si>
  <si>
    <t>Satrio Manurung</t>
  </si>
  <si>
    <t>2015-M-P1-0003</t>
  </si>
  <si>
    <t>Lia Siregar</t>
  </si>
  <si>
    <t>2016-M-P2-0003</t>
  </si>
  <si>
    <t>Krisna Rajagukguk</t>
  </si>
  <si>
    <t>2021-L-P1-0003</t>
  </si>
  <si>
    <t>Andi Lesmana</t>
  </si>
  <si>
    <t>2016-O-P2-0002</t>
  </si>
  <si>
    <t>Bimo Wahyudi</t>
  </si>
  <si>
    <t>2017-O-P3-0001</t>
  </si>
  <si>
    <t>Eka Fadillah</t>
  </si>
  <si>
    <t>2022-H-P1-0003</t>
  </si>
  <si>
    <t>Ani Anggraini</t>
  </si>
  <si>
    <t>2022-L-P1-0002</t>
  </si>
  <si>
    <t>Taufik Anggraini</t>
  </si>
  <si>
    <t>2019-H-P3-0001</t>
  </si>
  <si>
    <t>Citra Simanjuntak</t>
  </si>
  <si>
    <t>2017-I-P3-0001</t>
  </si>
  <si>
    <t>Novi Tampubolon</t>
  </si>
  <si>
    <t>2021-M-P5-0001</t>
  </si>
  <si>
    <t>Sri Sitompul</t>
  </si>
  <si>
    <t>2025-L-P1-0001</t>
  </si>
  <si>
    <t>Nita Maulana</t>
  </si>
  <si>
    <t>2020-M-P5-0001</t>
  </si>
  <si>
    <t>Kartika Yulianto</t>
  </si>
  <si>
    <t>2025-F-P5-0001</t>
  </si>
  <si>
    <t>Wahyu Silalahi</t>
  </si>
  <si>
    <t>2016-F-P3-0001</t>
  </si>
  <si>
    <t>Ricky Utomo</t>
  </si>
  <si>
    <t>2022-L-P1-0003</t>
  </si>
  <si>
    <t>Xenia Saputra</t>
  </si>
  <si>
    <t>2019-F-P5-0001</t>
  </si>
  <si>
    <t>Dewi Iskandar</t>
  </si>
  <si>
    <t>2019-O-P1-0002</t>
  </si>
  <si>
    <t>Dina Permata</t>
  </si>
  <si>
    <t>2017-O-P1-0001</t>
  </si>
  <si>
    <t>Iwan Maulana</t>
  </si>
  <si>
    <t>2016-M-P2-0004</t>
  </si>
  <si>
    <t>Tono Nugroho</t>
  </si>
  <si>
    <t>2018-H-P5-0001</t>
  </si>
  <si>
    <t>Lestari Suryadi</t>
  </si>
  <si>
    <t>2022-O-P5-0001</t>
  </si>
  <si>
    <t>Eko Aritonang</t>
  </si>
  <si>
    <t>2022-M-P2-0003</t>
  </si>
  <si>
    <t>Aditya Simatupang</t>
  </si>
  <si>
    <t>2022-S-P2-0001</t>
  </si>
  <si>
    <t>Eko Ridwan</t>
  </si>
  <si>
    <t>2021-M-P4-0001</t>
  </si>
  <si>
    <t>Rina Setiawan</t>
  </si>
  <si>
    <t>2020-S-P1-0002</t>
  </si>
  <si>
    <t>Lukman Kurniawan</t>
  </si>
  <si>
    <t>2019-F-P2-0002</t>
  </si>
  <si>
    <t>Reza Sitompul</t>
  </si>
  <si>
    <t>2017-F-P2-0001</t>
  </si>
  <si>
    <t>Zainal Silalahi</t>
  </si>
  <si>
    <t>2016-H-P5-0001</t>
  </si>
  <si>
    <t>Cahyo Simatupang</t>
  </si>
  <si>
    <t>2024-S-P1-0003</t>
  </si>
  <si>
    <t>Satrio Sitompul</t>
  </si>
  <si>
    <t>2025-I-P1-0001</t>
  </si>
  <si>
    <t>Wati Fadillah</t>
  </si>
  <si>
    <t>2018-L-P2-0001</t>
  </si>
  <si>
    <t>Dian Maulana</t>
  </si>
  <si>
    <t>2020-M-P2-0001</t>
  </si>
  <si>
    <t>Dian Suryadi</t>
  </si>
  <si>
    <t>2016-H-P1-0001</t>
  </si>
  <si>
    <t>Tuti Aritonang</t>
  </si>
  <si>
    <t>2020-F-P3-0001</t>
  </si>
  <si>
    <t>Gita Manurung</t>
  </si>
  <si>
    <t>2021-M-P2-0002</t>
  </si>
  <si>
    <t>Yusuf Permata</t>
  </si>
  <si>
    <t>2022-M-P4-0001</t>
  </si>
  <si>
    <t>Qonita Ramadhan</t>
  </si>
  <si>
    <t>2017-L-P3-0001</t>
  </si>
  <si>
    <t>Xenia Simanjuntak</t>
  </si>
  <si>
    <t>2023-F-P1-0002</t>
  </si>
  <si>
    <t>Sigit Saputra</t>
  </si>
  <si>
    <t>2024-S-P2-0001</t>
  </si>
  <si>
    <t>Eko Hidayat</t>
  </si>
  <si>
    <t>2017-F-P2-0002</t>
  </si>
  <si>
    <t>Maya Manurung</t>
  </si>
  <si>
    <t>2020-O-P2-0001</t>
  </si>
  <si>
    <t>Gilang Susanto</t>
  </si>
  <si>
    <t>2024-L-P1-0003</t>
  </si>
  <si>
    <t>Reza Iskandar</t>
  </si>
  <si>
    <t>2023-I-P3-0001</t>
  </si>
  <si>
    <t>Tono Marpaung</t>
  </si>
  <si>
    <t>2024-L-P3-0001</t>
  </si>
  <si>
    <t>Zainal Fadillah</t>
  </si>
  <si>
    <t>2025-O-P5-0001</t>
  </si>
  <si>
    <t>Panji Simatupang</t>
  </si>
  <si>
    <t>2023-S-P3-0002</t>
  </si>
  <si>
    <t>Yasmin Sinaga</t>
  </si>
  <si>
    <t>2016-F-P1-0001</t>
  </si>
  <si>
    <t>Dian Siregar</t>
  </si>
  <si>
    <t>2024-I-P4-0001</t>
  </si>
  <si>
    <t>Alif Syahputra</t>
  </si>
  <si>
    <t>2020-S-P2-0003</t>
  </si>
  <si>
    <t>2025-S-P3-0002</t>
  </si>
  <si>
    <t>Nining Aritonang</t>
  </si>
  <si>
    <t>2019-F-P5-0002</t>
  </si>
  <si>
    <t>Tono Ridwan</t>
  </si>
  <si>
    <t>2020-I-P1-0002</t>
  </si>
  <si>
    <t>Zainal Firmansyah</t>
  </si>
  <si>
    <t>2020-O-P3-0001</t>
  </si>
  <si>
    <t>Puspita Kusuma</t>
  </si>
  <si>
    <t>2022-S-P1-0002</t>
  </si>
  <si>
    <t>Fani Permata</t>
  </si>
  <si>
    <t>2019-F-P1-0003</t>
  </si>
  <si>
    <t>Alif Sihombing</t>
  </si>
  <si>
    <t>2018-S-P1-0003</t>
  </si>
  <si>
    <t>Bambang Siregar</t>
  </si>
  <si>
    <t>2017-H-P5-0001</t>
  </si>
  <si>
    <t>Slamet Siregar</t>
  </si>
  <si>
    <t>2019-L-P1-0002</t>
  </si>
  <si>
    <t>Rina Ridwan</t>
  </si>
  <si>
    <t>2015-F-P2-0001</t>
  </si>
  <si>
    <t>Iwan Kusuma</t>
  </si>
  <si>
    <t>2019-H-P1-0003</t>
  </si>
  <si>
    <t>Oscar Silalahi</t>
  </si>
  <si>
    <t>2025-M-P2-0003</t>
  </si>
  <si>
    <t>Lestari Manurung</t>
  </si>
  <si>
    <t>2017-S-P2-0002</t>
  </si>
  <si>
    <t>Arif Maulana</t>
  </si>
  <si>
    <t>2025-O-P1-0002</t>
  </si>
  <si>
    <t>Reza Yulianto</t>
  </si>
  <si>
    <t>2021-S-P1-0004</t>
  </si>
  <si>
    <t>Lestari Marpaung</t>
  </si>
  <si>
    <t>2021-F-P2-0001</t>
  </si>
  <si>
    <t>Rahmat Wahyudi</t>
  </si>
  <si>
    <t>2020-S-P1-0003</t>
  </si>
  <si>
    <t>Rika Setiawan</t>
  </si>
  <si>
    <t>2019-S-P1-0001</t>
  </si>
  <si>
    <t>Puspita Utomo</t>
  </si>
  <si>
    <t>2017-I-P3-0002</t>
  </si>
  <si>
    <t>Nita Utomo</t>
  </si>
  <si>
    <t>2025-O-P1-0003</t>
  </si>
  <si>
    <t>Melati Ramadhan</t>
  </si>
  <si>
    <t>2020-H-P4-0002</t>
  </si>
  <si>
    <t>Dedi Pratama</t>
  </si>
  <si>
    <t>2017-L-P4-0001</t>
  </si>
  <si>
    <t>Fauzi Setiawan</t>
  </si>
  <si>
    <t>2023-I-P3-0002</t>
  </si>
  <si>
    <t>Gilang Gunawan</t>
  </si>
  <si>
    <t>2022-S-P3-0002</t>
  </si>
  <si>
    <t>Zainal Wijaya</t>
  </si>
  <si>
    <t>2016-H-P2-0004</t>
  </si>
  <si>
    <t>Tina Saputra</t>
  </si>
  <si>
    <t>2015-L-P2-0002</t>
  </si>
  <si>
    <t>Cahyo Gunawan</t>
  </si>
  <si>
    <t>2022-O-P4-0001</t>
  </si>
  <si>
    <t>Doni Sinaga</t>
  </si>
  <si>
    <t>2016-F-P5-0001</t>
  </si>
  <si>
    <t>Irfan Tampubolon</t>
  </si>
  <si>
    <t>2015-L-P2-0003</t>
  </si>
  <si>
    <t>Zainal Sitompul</t>
  </si>
  <si>
    <t>2022-L-P1-0004</t>
  </si>
  <si>
    <t>Hadi Syahputra</t>
  </si>
  <si>
    <t>2018-F-P1-0002</t>
  </si>
  <si>
    <t>Qori Kusuma</t>
  </si>
  <si>
    <t>2015-I-P2-0001</t>
  </si>
  <si>
    <t>Julia Permata</t>
  </si>
  <si>
    <t>2024-L-P2-0002</t>
  </si>
  <si>
    <t>Cahyo Ramadhan</t>
  </si>
  <si>
    <t>2023-F-P2-0001</t>
  </si>
  <si>
    <t>Kartika Pratama</t>
  </si>
  <si>
    <t>2023-I-P1-0002</t>
  </si>
  <si>
    <t>Guntur Prasetyo</t>
  </si>
  <si>
    <t>2017-L-P1-0002</t>
  </si>
  <si>
    <t>Bimo Sitompul</t>
  </si>
  <si>
    <t>2017-O-P2-0001</t>
  </si>
  <si>
    <t>Rina Rajagukguk</t>
  </si>
  <si>
    <t>2018-L-P2-0002</t>
  </si>
  <si>
    <t>Dina Utomo</t>
  </si>
  <si>
    <t>2021-S-P2-0001</t>
  </si>
  <si>
    <t>Ani Saputra</t>
  </si>
  <si>
    <t>2019-H-P1-0004</t>
  </si>
  <si>
    <t>Hadi Iskandar</t>
  </si>
  <si>
    <t>2024-S-P1-0004</t>
  </si>
  <si>
    <t>Yusuf Rajagukguk</t>
  </si>
  <si>
    <t>2025-L-P1-0002</t>
  </si>
  <si>
    <t>2022-O-P3-0001</t>
  </si>
  <si>
    <t>Fajar Utomo</t>
  </si>
  <si>
    <t>2017-H-P1-0002</t>
  </si>
  <si>
    <t>Panji Sihombing</t>
  </si>
  <si>
    <t>2018-I-P2-0001</t>
  </si>
  <si>
    <t>Melati Hutapea</t>
  </si>
  <si>
    <t>2022-S-P2-0002</t>
  </si>
  <si>
    <t>Imam Situmorang</t>
  </si>
  <si>
    <t>2023-I-P1-0003</t>
  </si>
  <si>
    <t>Julia Prasetyo</t>
  </si>
  <si>
    <t>2025-H-P3-0001</t>
  </si>
  <si>
    <t>Aditya Gunawan</t>
  </si>
  <si>
    <t>2018-M-P2-0002</t>
  </si>
  <si>
    <t>Rina Aritonang</t>
  </si>
  <si>
    <t>2015-M-P2-0002</t>
  </si>
  <si>
    <t>Siti Wijaya</t>
  </si>
  <si>
    <t>2015-M-P3-0001</t>
  </si>
  <si>
    <t>Vino Nasution</t>
  </si>
  <si>
    <t>2018-M-P2-0003</t>
  </si>
  <si>
    <t>Wulan Firmansyah</t>
  </si>
  <si>
    <t>2024-F-P5-0001</t>
  </si>
  <si>
    <t>Bayu Setiadi</t>
  </si>
  <si>
    <t>2015-H-P2-0001</t>
  </si>
  <si>
    <t>Doni Rajagukguk</t>
  </si>
  <si>
    <t>2022-O-P2-0003</t>
  </si>
  <si>
    <t>Anton Simatupang</t>
  </si>
  <si>
    <t>2024-I-P1-0001</t>
  </si>
  <si>
    <t>Wati Ramadhan</t>
  </si>
  <si>
    <t>2020-H-P5-0001</t>
  </si>
  <si>
    <t>Mira Susanto</t>
  </si>
  <si>
    <t>2017-M-P1-0002</t>
  </si>
  <si>
    <t>Tuti Ramadhan</t>
  </si>
  <si>
    <t>2016-M-P3-0001</t>
  </si>
  <si>
    <t>Guntur Pratama</t>
  </si>
  <si>
    <t>2024-O-P2-0001</t>
  </si>
  <si>
    <t>Qori Simanjuntak</t>
  </si>
  <si>
    <t>2022-F-P1-0002</t>
  </si>
  <si>
    <t>Doni Nasution</t>
  </si>
  <si>
    <t>2024-L-P3-0002</t>
  </si>
  <si>
    <t>Umi Saputra</t>
  </si>
  <si>
    <t>2025-F-P3-0002</t>
  </si>
  <si>
    <t>Dian Utomo</t>
  </si>
  <si>
    <t>2020-O-P1-0003</t>
  </si>
  <si>
    <t>Eko Wibowo</t>
  </si>
  <si>
    <t>2021-H-P1-0003</t>
  </si>
  <si>
    <t>Wulan Rajagukguk</t>
  </si>
  <si>
    <t>2019-I-P1-0001</t>
  </si>
  <si>
    <t>Hendra Syahputra</t>
  </si>
  <si>
    <t>2025-I-P1-0002</t>
  </si>
  <si>
    <t>Rahmat Setiadi</t>
  </si>
  <si>
    <t>2021-L-P2-0002</t>
  </si>
  <si>
    <t>Fani Saputra</t>
  </si>
  <si>
    <t>2024-M-P1-0002</t>
  </si>
  <si>
    <t>Yuni Gunawan</t>
  </si>
  <si>
    <t>2024-I-P3-0002</t>
  </si>
  <si>
    <t>Anton Panjaitan</t>
  </si>
  <si>
    <t>2024-S-P1-0005</t>
  </si>
  <si>
    <t>Dian Rahayu</t>
  </si>
  <si>
    <t>2022-M-P3-0001</t>
  </si>
  <si>
    <t>Ika Sinaga</t>
  </si>
  <si>
    <t>2018-M-P5-0001</t>
  </si>
  <si>
    <t>Sri Ramadhan</t>
  </si>
  <si>
    <t>2022-O-P1-0004</t>
  </si>
  <si>
    <t>Wibowo Saputra</t>
  </si>
  <si>
    <t>2019-F-P1-0004</t>
  </si>
  <si>
    <t>Indah Maulana</t>
  </si>
  <si>
    <t>2024-I-P2-0002</t>
  </si>
  <si>
    <t>Miko Manurung</t>
  </si>
  <si>
    <t>2023-M-P2-0001</t>
  </si>
  <si>
    <t>Hendra Hidayat</t>
  </si>
  <si>
    <t>2024-H-P2-0001</t>
  </si>
  <si>
    <t>Taufik Ramadhan</t>
  </si>
  <si>
    <t>2016-H-P1-0002</t>
  </si>
  <si>
    <t>Bayu Manurung</t>
  </si>
  <si>
    <t>2022-O-P2-0004</t>
  </si>
  <si>
    <t>Wibowo Manurung</t>
  </si>
  <si>
    <t>2021-H-P1-0004</t>
  </si>
  <si>
    <t>2023-I-P1-0004</t>
  </si>
  <si>
    <t>Bambang Panjaitan</t>
  </si>
  <si>
    <t>2015-O-P3-0001</t>
  </si>
  <si>
    <t>Andi Wahyudi</t>
  </si>
  <si>
    <t>2018-M-P1-0001</t>
  </si>
  <si>
    <t>Slamet Wahyudi</t>
  </si>
  <si>
    <t>2021-S-P1-0005</t>
  </si>
  <si>
    <t>Prita Wardana</t>
  </si>
  <si>
    <t>2022-M-P2-0004</t>
  </si>
  <si>
    <t>Budi Maulana</t>
  </si>
  <si>
    <t>2016-M-P1-0002</t>
  </si>
  <si>
    <t>Miko Rahayu</t>
  </si>
  <si>
    <t>2025-O-P2-0001</t>
  </si>
  <si>
    <t>Prita Halim</t>
  </si>
  <si>
    <t>2020-O-P2-0002</t>
  </si>
  <si>
    <t>Iwan Ramadhan</t>
  </si>
  <si>
    <t>2016-S-P1-0002</t>
  </si>
  <si>
    <t>Fitri Suryadi</t>
  </si>
  <si>
    <t>2023-I-P2-0003</t>
  </si>
  <si>
    <t>Lestari Simatupang</t>
  </si>
  <si>
    <t>2025-F-P2-0001</t>
  </si>
  <si>
    <t>Imam Kurniawan</t>
  </si>
  <si>
    <t>2015-O-P1-0002</t>
  </si>
  <si>
    <t>Siti Hutapea</t>
  </si>
  <si>
    <t>2025-I-P2-0002</t>
  </si>
  <si>
    <t>Imam Siregar</t>
  </si>
  <si>
    <t>2024-H-P3-0001</t>
  </si>
  <si>
    <t>Bayu Kurniawan</t>
  </si>
  <si>
    <t>2022-M-P3-0002</t>
  </si>
  <si>
    <t>Cahyo Hutapea</t>
  </si>
  <si>
    <t>2023-O-P5-0001</t>
  </si>
  <si>
    <t>Julia Junaedi</t>
  </si>
  <si>
    <t>2016-S-P3-0001</t>
  </si>
  <si>
    <t>Bimo Suryadi</t>
  </si>
  <si>
    <t>2016-I-P4-0002</t>
  </si>
  <si>
    <t>Fitri Ridwan</t>
  </si>
  <si>
    <t>2025-I-P1-0003</t>
  </si>
  <si>
    <t>Lestari Permata</t>
  </si>
  <si>
    <t>2019-M-P2-0001</t>
  </si>
  <si>
    <t>Ika Maulana</t>
  </si>
  <si>
    <t>2025-O-P1-0004</t>
  </si>
  <si>
    <t>Bimo Siregar</t>
  </si>
  <si>
    <t>2018-F-P3-0001</t>
  </si>
  <si>
    <t>Melati Junaedi</t>
  </si>
  <si>
    <t>2025-L-P2-0002</t>
  </si>
  <si>
    <t>Doni Panjaitan</t>
  </si>
  <si>
    <t>2019-S-P4-0001</t>
  </si>
  <si>
    <t>Novi Situmorang</t>
  </si>
  <si>
    <t>2016-S-P5-0001</t>
  </si>
  <si>
    <t>2018-I-P3-0002</t>
  </si>
  <si>
    <t>Gita Firmansyah</t>
  </si>
  <si>
    <t>2024-F-P2-0002</t>
  </si>
  <si>
    <t>Imam Wahyudi</t>
  </si>
  <si>
    <t>2025-O-P3-0001</t>
  </si>
  <si>
    <t>Andi Setiawan</t>
  </si>
  <si>
    <t>2021-F-P5-0001</t>
  </si>
  <si>
    <t>Eko Prasetyo</t>
  </si>
  <si>
    <t>2020-L-P1-0001</t>
  </si>
  <si>
    <t>Rika Prasetyo</t>
  </si>
  <si>
    <t>2018-I-P2-0002</t>
  </si>
  <si>
    <t>Yoga Hidayat</t>
  </si>
  <si>
    <t>2024-F-P2-0003</t>
  </si>
  <si>
    <t>Fauzi Santoso</t>
  </si>
  <si>
    <t>2017-I-P1-0002</t>
  </si>
  <si>
    <t>Tuti Wibowo</t>
  </si>
  <si>
    <t>2017-I-P3-0003</t>
  </si>
  <si>
    <t>Bimo Gunawan</t>
  </si>
  <si>
    <t>2024-H-P2-0002</t>
  </si>
  <si>
    <t>Ratna Panjaitan</t>
  </si>
  <si>
    <t>2021-M-P3-0001</t>
  </si>
  <si>
    <t>Ayu Wibowo</t>
  </si>
  <si>
    <t>2020-I-P1-0003</t>
  </si>
  <si>
    <t>2024-M-P3-0001</t>
  </si>
  <si>
    <t>Sigit Ridwan</t>
  </si>
  <si>
    <t>2024-M-P1-0003</t>
  </si>
  <si>
    <t>Irfan Kurniawan</t>
  </si>
  <si>
    <t>2018-I-P2-0003</t>
  </si>
  <si>
    <t>Wati Tampubolon</t>
  </si>
  <si>
    <t>2024-I-P1-0002</t>
  </si>
  <si>
    <t>Sinta Rahayu</t>
  </si>
  <si>
    <t>2016-H-P1-0003</t>
  </si>
  <si>
    <t>Ani Pratama</t>
  </si>
  <si>
    <t>2021-I-P3-0001</t>
  </si>
  <si>
    <t>Hendra Yulianto</t>
  </si>
  <si>
    <t>2019-H-P2-0001</t>
  </si>
  <si>
    <t>Fajar Susanto</t>
  </si>
  <si>
    <t>2025-S-P2-0004</t>
  </si>
  <si>
    <t>Sari Fadillah</t>
  </si>
  <si>
    <t>2016-I-P1-0001</t>
  </si>
  <si>
    <t>Reza Silalahi</t>
  </si>
  <si>
    <t>2017-S-P1-0002</t>
  </si>
  <si>
    <t>Gita Lesmana</t>
  </si>
  <si>
    <t>2017-S-P3-0002</t>
  </si>
  <si>
    <t>Rahmat Syahputra</t>
  </si>
  <si>
    <t>2021-L-P2-0003</t>
  </si>
  <si>
    <t>Nining Maulana</t>
  </si>
  <si>
    <t>2020-H-P2-0001</t>
  </si>
  <si>
    <t>Oscar Nugroho</t>
  </si>
  <si>
    <t>2025-S-P1-0004</t>
  </si>
  <si>
    <t>Alif Manurung</t>
  </si>
  <si>
    <t>2022-L-P1-0005</t>
  </si>
  <si>
    <t>Indah Rahayu</t>
  </si>
  <si>
    <t>2018-I-P4-0001</t>
  </si>
  <si>
    <t>Dian Firmansyah</t>
  </si>
  <si>
    <t>2025-H-P1-0002</t>
  </si>
  <si>
    <t>Lukman Kusuma</t>
  </si>
  <si>
    <t>2019-L-P1-0003</t>
  </si>
  <si>
    <t>Gilang Santoso</t>
  </si>
  <si>
    <t>2024-F-P2-0004</t>
  </si>
  <si>
    <t>2021-H-P1-0005</t>
  </si>
  <si>
    <t>Guntur Yulianto</t>
  </si>
  <si>
    <t>2025-I-P4-0001</t>
  </si>
  <si>
    <t>Vera Setiadi</t>
  </si>
  <si>
    <t>2017-S-P1-0003</t>
  </si>
  <si>
    <t>Ani Purnomo</t>
  </si>
  <si>
    <t>2016-M-P1-0003</t>
  </si>
  <si>
    <t>Lestari Yulianto</t>
  </si>
  <si>
    <t>2018-L-P1-0001</t>
  </si>
  <si>
    <t>2019-F-P1-0005</t>
  </si>
  <si>
    <t>Putri Gunawan</t>
  </si>
  <si>
    <t>2022-I-P1-0005</t>
  </si>
  <si>
    <t>Fitri Sitompul</t>
  </si>
  <si>
    <t>2019-O-P1-0003</t>
  </si>
  <si>
    <t>Slamet Ramadhan</t>
  </si>
  <si>
    <t>2020-F-P1-0001</t>
  </si>
  <si>
    <t>Melati Lesmana</t>
  </si>
  <si>
    <t>2017-H-P5-0002</t>
  </si>
  <si>
    <t>Dina Rajagukguk</t>
  </si>
  <si>
    <t>2017-H-P1-0003</t>
  </si>
  <si>
    <t>Yasmin Purnomo</t>
  </si>
  <si>
    <t>2025-H-P2-0001</t>
  </si>
  <si>
    <t>Nining Saputra</t>
  </si>
  <si>
    <t>2017-H-P4-0001</t>
  </si>
  <si>
    <t>Anton Setiawan</t>
  </si>
  <si>
    <t>2024-I-P3-0003</t>
  </si>
  <si>
    <t>Irfan Hutapea</t>
  </si>
  <si>
    <t>2018-F-P1-0003</t>
  </si>
  <si>
    <t>Dina Susanto</t>
  </si>
  <si>
    <t>2021-M-P2-0003</t>
  </si>
  <si>
    <t>Nur Firmansyah</t>
  </si>
  <si>
    <t>2023-F-P2-0002</t>
  </si>
  <si>
    <t>Julia Wijaya</t>
  </si>
  <si>
    <t>2022-L-P4-0001</t>
  </si>
  <si>
    <t>Krisna Halim</t>
  </si>
  <si>
    <t>2024-F-P1-0001</t>
  </si>
  <si>
    <t>Yasmin Firmansyah</t>
  </si>
  <si>
    <t>2024-F-P5-0002</t>
  </si>
  <si>
    <t>Bambang Suryadi</t>
  </si>
  <si>
    <t>2015-O-P5-0001</t>
  </si>
  <si>
    <t>Bayu Simatupang</t>
  </si>
  <si>
    <t>2024-L-P3-0003</t>
  </si>
  <si>
    <t>Tina Lesmana</t>
  </si>
  <si>
    <t>2017-M-P5-0002</t>
  </si>
  <si>
    <t>Gita Sitompul</t>
  </si>
  <si>
    <t>2015-F-P2-0002</t>
  </si>
  <si>
    <t>Andi Tampubolon</t>
  </si>
  <si>
    <t>2017-L-P3-0002</t>
  </si>
  <si>
    <t>Ika Pratama</t>
  </si>
  <si>
    <t>2020-H-P1-0002</t>
  </si>
  <si>
    <t>Umar Simanjuntak</t>
  </si>
  <si>
    <t>2017-F-P3-0001</t>
  </si>
  <si>
    <t>Citra Yulianto</t>
  </si>
  <si>
    <t>2023-S-P4-0003</t>
  </si>
  <si>
    <t>Reza Lesmana</t>
  </si>
  <si>
    <t>2019-F-P1-0006</t>
  </si>
  <si>
    <t>Budi Fadillah</t>
  </si>
  <si>
    <t>2020-O-P5-0001</t>
  </si>
  <si>
    <t>2016-F-P1-0002</t>
  </si>
  <si>
    <t>Dian Nugroho</t>
  </si>
  <si>
    <t>2025-S-P4-0001</t>
  </si>
  <si>
    <t>Dina Santoso</t>
  </si>
  <si>
    <t>2019-O-P1-0004</t>
  </si>
  <si>
    <t>Budi Pratama</t>
  </si>
  <si>
    <t>2022-I-P1-0006</t>
  </si>
  <si>
    <t>Doni Hidayat</t>
  </si>
  <si>
    <t>2016-O-P4-0001</t>
  </si>
  <si>
    <t>Puspita Wijaya</t>
  </si>
  <si>
    <t>2017-I-P1-0003</t>
  </si>
  <si>
    <t>Wati Rajagukguk</t>
  </si>
  <si>
    <t>2025-F-P2-0002</t>
  </si>
  <si>
    <t>Citra Nugroho</t>
  </si>
  <si>
    <t>2018-I-P3-0003</t>
  </si>
  <si>
    <t>Zainal Syahputra</t>
  </si>
  <si>
    <t>2016-H-P1-0004</t>
  </si>
  <si>
    <t>Nanda Hutapea</t>
  </si>
  <si>
    <t>2016-L-P3-0001</t>
  </si>
  <si>
    <t>Satrio Silalahi</t>
  </si>
  <si>
    <t>2017-S-P1-0004</t>
  </si>
  <si>
    <t>Hendra Marpaung</t>
  </si>
  <si>
    <t>2019-H-P2-0002</t>
  </si>
  <si>
    <t>Tuti Rahayu</t>
  </si>
  <si>
    <t>2015-L-P2-0004</t>
  </si>
  <si>
    <t>Nining Purnomo</t>
  </si>
  <si>
    <t>2025-H-P1-0003</t>
  </si>
  <si>
    <t>Guntur Sitompul</t>
  </si>
  <si>
    <t>2023-I-P5-0001</t>
  </si>
  <si>
    <t>Sinta Marpaung</t>
  </si>
  <si>
    <t>2021-O-P3-0001</t>
  </si>
  <si>
    <t>Krisna Simatupang</t>
  </si>
  <si>
    <t>2022-F-P5-0001</t>
  </si>
  <si>
    <t>Ratna Permata</t>
  </si>
  <si>
    <t>2021-F-P5-0002</t>
  </si>
  <si>
    <t>Satrio Susanto</t>
  </si>
  <si>
    <t>2016-H-P1-0005</t>
  </si>
  <si>
    <t>2024-M-P2-0001</t>
  </si>
  <si>
    <t>Rani Setiawan</t>
  </si>
  <si>
    <t>2016-H-P2-0005</t>
  </si>
  <si>
    <t>Bambang Kurniawan</t>
  </si>
  <si>
    <t>2021-S-P2-0002</t>
  </si>
  <si>
    <t>2024-S-P3-0002</t>
  </si>
  <si>
    <t>Rudi Simanjuntak</t>
  </si>
  <si>
    <t>2022-L-P4-0002</t>
  </si>
  <si>
    <t>2025-H-P5-0001</t>
  </si>
  <si>
    <t>Diana Gunawan</t>
  </si>
  <si>
    <t>2019-S-P2-0002</t>
  </si>
  <si>
    <t>Taufik Wibowo</t>
  </si>
  <si>
    <t>2022-O-P2-0005</t>
  </si>
  <si>
    <t>Novi Pratama</t>
  </si>
  <si>
    <t>2023-I-P1-0005</t>
  </si>
  <si>
    <t>Ira Simatupang</t>
  </si>
  <si>
    <t>2015-F-P1-0001</t>
  </si>
  <si>
    <t>Agus Utomo</t>
  </si>
  <si>
    <t>2023-I-P2-0004</t>
  </si>
  <si>
    <t>Fitri Ramadhan</t>
  </si>
  <si>
    <t>2017-O-P2-0002</t>
  </si>
  <si>
    <t>Nanda Lesmana</t>
  </si>
  <si>
    <t>2016-L-P1-0001</t>
  </si>
  <si>
    <t>Agus Nugroho</t>
  </si>
  <si>
    <t>2018-S-P1-0004</t>
  </si>
  <si>
    <t>Qonita Siregar</t>
  </si>
  <si>
    <t>2025-F-P2-0003</t>
  </si>
  <si>
    <t>Siti Purnomo</t>
  </si>
  <si>
    <t>2025-L-P2-0003</t>
  </si>
  <si>
    <t>Doni Lesmana</t>
  </si>
  <si>
    <t>2023-O-P2-0004</t>
  </si>
  <si>
    <t>Panji Hidayat</t>
  </si>
  <si>
    <t>2024-L-P1-0004</t>
  </si>
  <si>
    <t>Yuni Marpaung</t>
  </si>
  <si>
    <t>2019-S-P3-0001</t>
  </si>
  <si>
    <t>Qonita Setiadi</t>
  </si>
  <si>
    <t>2024-I-P2-0003</t>
  </si>
  <si>
    <t>Sinta Gunawan</t>
  </si>
  <si>
    <t>2021-I-P1-0001</t>
  </si>
  <si>
    <t>Rudi Sihombing</t>
  </si>
  <si>
    <t>2018-S-P2-0001</t>
  </si>
  <si>
    <t>Hendro Wardana</t>
  </si>
  <si>
    <t>2023-F-P1-0003</t>
  </si>
  <si>
    <t>Hendro Gunawan</t>
  </si>
  <si>
    <t>2025-H-P1-0004</t>
  </si>
  <si>
    <t>Bayu Iskandar</t>
  </si>
  <si>
    <t>2019-I-P4-0001</t>
  </si>
  <si>
    <t>Hendro Pratama</t>
  </si>
  <si>
    <t>2023-H-P4-0003</t>
  </si>
  <si>
    <t>Doni Tampubolon</t>
  </si>
  <si>
    <t>2017-F-P1-0003</t>
  </si>
  <si>
    <t>Oscar Situmorang</t>
  </si>
  <si>
    <t>2020-S-P5-0002</t>
  </si>
  <si>
    <t>Dian Yulianto</t>
  </si>
  <si>
    <t>2017-M-P3-0001</t>
  </si>
  <si>
    <t>Imam Junaedi</t>
  </si>
  <si>
    <t>2021-I-P1-0002</t>
  </si>
  <si>
    <t>Rudi Sitompul</t>
  </si>
  <si>
    <t>2023-F-P1-0004</t>
  </si>
  <si>
    <t>Budi Yulianto</t>
  </si>
  <si>
    <t>2016-I-P2-0003</t>
  </si>
  <si>
    <t>Sari Nugroho</t>
  </si>
  <si>
    <t>2019-I-P3-0001</t>
  </si>
  <si>
    <t>Qori Tampubolon</t>
  </si>
  <si>
    <t>2022-L-P3-0001</t>
  </si>
  <si>
    <t>Ratna Simanjuntak</t>
  </si>
  <si>
    <t>2018-S-P1-0005</t>
  </si>
  <si>
    <t>Krisna Nugroho</t>
  </si>
  <si>
    <t>2019-O-P2-0002</t>
  </si>
  <si>
    <t>Agus Silalahi</t>
  </si>
  <si>
    <t>2015-S-P1-0002</t>
  </si>
  <si>
    <t>Fauzi Sinaga</t>
  </si>
  <si>
    <t>2018-S-P3-0001</t>
  </si>
  <si>
    <t>Siti Setiadi</t>
  </si>
  <si>
    <t>2024-M-P3-0002</t>
  </si>
  <si>
    <t>Rani Hidayat</t>
  </si>
  <si>
    <t>2016-I-P1-0002</t>
  </si>
  <si>
    <t>Putri Ridwan</t>
  </si>
  <si>
    <t>2019-F-P1-0007</t>
  </si>
  <si>
    <t>Gita Permata</t>
  </si>
  <si>
    <t>2015-H-P2-0002</t>
  </si>
  <si>
    <t>Dedi Simatupang</t>
  </si>
  <si>
    <t>2023-H-P3-0001</t>
  </si>
  <si>
    <t>Bambang Handoko</t>
  </si>
  <si>
    <t>2019-I-P1-0002</t>
  </si>
  <si>
    <t>2016-O-P3-0002</t>
  </si>
  <si>
    <t>Ani Santoso</t>
  </si>
  <si>
    <t>2022-M-P1-0002</t>
  </si>
  <si>
    <t>Vera Wibowo</t>
  </si>
  <si>
    <t>2021-I-P5-0001</t>
  </si>
  <si>
    <t>Rahmat Sinaga</t>
  </si>
  <si>
    <t>2017-H-P1-0004</t>
  </si>
  <si>
    <t>Zainal Pratama</t>
  </si>
  <si>
    <t>2024-S-P2-0002</t>
  </si>
  <si>
    <t>Reza Sinaga</t>
  </si>
  <si>
    <t>2017-I-P4-0002</t>
  </si>
  <si>
    <t>Dedi Siregar</t>
  </si>
  <si>
    <t>2020-H-P3-0002</t>
  </si>
  <si>
    <t>Vino Tampubolon</t>
  </si>
  <si>
    <t>2020-M-P2-0002</t>
  </si>
  <si>
    <t>Tina Aritonang</t>
  </si>
  <si>
    <t>2025-S-P1-0005</t>
  </si>
  <si>
    <t>Kiki Aritonang</t>
  </si>
  <si>
    <t>2022-O-P1-0005</t>
  </si>
  <si>
    <t>Bimo Hutapea</t>
  </si>
  <si>
    <t>2023-F-P2-0003</t>
  </si>
  <si>
    <t>Doni Simanjuntak</t>
  </si>
  <si>
    <t>2022-H-P4-0001</t>
  </si>
  <si>
    <t>Dina Halim</t>
  </si>
  <si>
    <t>2021-H-P2-0002</t>
  </si>
  <si>
    <t>Budi Wibowo</t>
  </si>
  <si>
    <t>2018-S-P2-0002</t>
  </si>
  <si>
    <t>Yanti Utomo</t>
  </si>
  <si>
    <t>2023-O-P2-0005</t>
  </si>
  <si>
    <t>2025-F-P1-0002</t>
  </si>
  <si>
    <t>Wulan Yulianto</t>
  </si>
  <si>
    <t>2017-I-P1-0004</t>
  </si>
  <si>
    <t>Umi Iskandar</t>
  </si>
  <si>
    <t>2016-O-P1-0003</t>
  </si>
  <si>
    <t>Gilang Anggraini</t>
  </si>
  <si>
    <t>2025-O-P2-0002</t>
  </si>
  <si>
    <t>2023-S-P1-0002</t>
  </si>
  <si>
    <t>Citra Sihombing</t>
  </si>
  <si>
    <t>2017-H-P1-0005</t>
  </si>
  <si>
    <t>Qori Silalahi</t>
  </si>
  <si>
    <t>2018-L-P1-0002</t>
  </si>
  <si>
    <t>Yanti Kurniawan</t>
  </si>
  <si>
    <t>2024-S-P4-0001</t>
  </si>
  <si>
    <t>Hana Setiadi</t>
  </si>
  <si>
    <t>2025-F-P1-0003</t>
  </si>
  <si>
    <t>Okta Maulana</t>
  </si>
  <si>
    <t>2025-F-P2-0004</t>
  </si>
  <si>
    <t>Wibowo Yulianto</t>
  </si>
  <si>
    <t>2022-M-P2-0005</t>
  </si>
  <si>
    <t>Rika Maulana</t>
  </si>
  <si>
    <t>2015-M-P1-0004</t>
  </si>
  <si>
    <t>Doni Susanto</t>
  </si>
  <si>
    <t>2017-L-P3-0003</t>
  </si>
  <si>
    <t>Wahyu Pratama</t>
  </si>
  <si>
    <t>2023-H-P1-0004</t>
  </si>
  <si>
    <t>Dina Hidayat</t>
  </si>
  <si>
    <t>2021-F-P2-0002</t>
  </si>
  <si>
    <t>Tina Kurniawan</t>
  </si>
  <si>
    <t>2021-O-P5-0001</t>
  </si>
  <si>
    <t>Dian Rajagukguk</t>
  </si>
  <si>
    <t>2022-O-P1-0006</t>
  </si>
  <si>
    <t>Prita Maulana</t>
  </si>
  <si>
    <t>2024-F-P3-0001</t>
  </si>
  <si>
    <t>Hadi Kurniawan</t>
  </si>
  <si>
    <t>2017-S-P2-0003</t>
  </si>
  <si>
    <t>Doni Kusuma</t>
  </si>
  <si>
    <t>2024-O-P1-0001</t>
  </si>
  <si>
    <t>Anton Situmorang</t>
  </si>
  <si>
    <t>2020-M-P1-0003</t>
  </si>
  <si>
    <t>2020-H-P3-0003</t>
  </si>
  <si>
    <t>Dian Tampubolon</t>
  </si>
  <si>
    <t>2021-M-P2-0004</t>
  </si>
  <si>
    <t>Nur Lesmana</t>
  </si>
  <si>
    <t>2020-L-P1-0002</t>
  </si>
  <si>
    <t>Bimo Aritonang</t>
  </si>
  <si>
    <t>2020-I-P1-0004</t>
  </si>
  <si>
    <t>Taufik Aritonang</t>
  </si>
  <si>
    <t>2021-O-P5-0002</t>
  </si>
  <si>
    <t>Tuti Handoko</t>
  </si>
  <si>
    <t>2023-O-P3-0001</t>
  </si>
  <si>
    <t>Hana Manurung</t>
  </si>
  <si>
    <t>2025-F-P1-0004</t>
  </si>
  <si>
    <t>2025-S-P3-0003</t>
  </si>
  <si>
    <t>Sinta Nasution</t>
  </si>
  <si>
    <t>2025-F-P1-0005</t>
  </si>
  <si>
    <t>Umi Wahyudi</t>
  </si>
  <si>
    <t>2019-M-P1-0002</t>
  </si>
  <si>
    <t>Diana Handoko</t>
  </si>
  <si>
    <t>2020-H-P1-0003</t>
  </si>
  <si>
    <t>2015-S-P4-0002</t>
  </si>
  <si>
    <t>Wulan Manurung</t>
  </si>
  <si>
    <t>2022-I-P1-0007</t>
  </si>
  <si>
    <t>2021-O-P3-0002</t>
  </si>
  <si>
    <t>Julia Kurniawan</t>
  </si>
  <si>
    <t>2025-L-P5-0001</t>
  </si>
  <si>
    <t>Siti Rajagukguk</t>
  </si>
  <si>
    <t>2024-M-P1-0004</t>
  </si>
  <si>
    <t>Nanda Wibowo</t>
  </si>
  <si>
    <t>2025-O-P2-0003</t>
  </si>
  <si>
    <t>Slamet Rahayu</t>
  </si>
  <si>
    <t>2017-S-P3-0003</t>
  </si>
  <si>
    <t>Agus Junaedi</t>
  </si>
  <si>
    <t>2016-L-P1-0002</t>
  </si>
  <si>
    <t>Zainal Sihombing</t>
  </si>
  <si>
    <t>2025-F-P1-0006</t>
  </si>
  <si>
    <t>2025-L-P3-0001</t>
  </si>
  <si>
    <t>Indah Simatupang</t>
  </si>
  <si>
    <t>2015-L-P1-0001</t>
  </si>
  <si>
    <t>Bayu Maulana</t>
  </si>
  <si>
    <t>2025-S-P1-0006</t>
  </si>
  <si>
    <t>Fani Situmorang</t>
  </si>
  <si>
    <t>2017-S-P2-0004</t>
  </si>
  <si>
    <t>Kartika Gunawan</t>
  </si>
  <si>
    <t>2016-S-P1-0003</t>
  </si>
  <si>
    <t>Andi Manurung</t>
  </si>
  <si>
    <t>2015-M-P1-0005</t>
  </si>
  <si>
    <t>Julia Marpaung</t>
  </si>
  <si>
    <t>2024-S-P4-0002</t>
  </si>
  <si>
    <t>Lestari Situmorang</t>
  </si>
  <si>
    <t>2015-S-P1-0003</t>
  </si>
  <si>
    <t>Reza Ramadhan</t>
  </si>
  <si>
    <t>2024-M-P2-0002</t>
  </si>
  <si>
    <t>Wahyu Iskandar</t>
  </si>
  <si>
    <t>2022-F-P1-0003</t>
  </si>
  <si>
    <t>Novi Purnomo</t>
  </si>
  <si>
    <t>2020-I-P2-0002</t>
  </si>
  <si>
    <t>Gilang Kusuma</t>
  </si>
  <si>
    <t>2023-S-P3-0003</t>
  </si>
  <si>
    <t>Alif Handoko</t>
  </si>
  <si>
    <t>2020-M-P2-0003</t>
  </si>
  <si>
    <t>2020-I-P3-0001</t>
  </si>
  <si>
    <t>Nita Santoso</t>
  </si>
  <si>
    <t>2016-M-P2-0005</t>
  </si>
  <si>
    <t>Ayu Susanto</t>
  </si>
  <si>
    <t>2025-F-P2-0005</t>
  </si>
  <si>
    <t>Anton Syahputra</t>
  </si>
  <si>
    <t>2017-S-P3-0004</t>
  </si>
  <si>
    <t>Andi Suryadi</t>
  </si>
  <si>
    <t>2023-H-P4-0004</t>
  </si>
  <si>
    <t>2024-M-P2-0003</t>
  </si>
  <si>
    <t>2022-M-P5-0001</t>
  </si>
  <si>
    <t>Fani Nugroho</t>
  </si>
  <si>
    <t>2024-O-P3-0002</t>
  </si>
  <si>
    <t>Okta Wardana</t>
  </si>
  <si>
    <t>2022-M-P2-0006</t>
  </si>
  <si>
    <t>Diana Sinaga</t>
  </si>
  <si>
    <t>2023-O-P4-0001</t>
  </si>
  <si>
    <t>Sinta Siregar</t>
  </si>
  <si>
    <t>2024-M-P1-0005</t>
  </si>
  <si>
    <t>2023-O-P1-0002</t>
  </si>
  <si>
    <t>Yasmin Ramadhan</t>
  </si>
  <si>
    <t>2023-I-P1-0006</t>
  </si>
  <si>
    <t>Fani Ridwan</t>
  </si>
  <si>
    <t>2022-O-P1-0007</t>
  </si>
  <si>
    <t>Hendra Kurniawan</t>
  </si>
  <si>
    <t>2015-S-P3-0002</t>
  </si>
  <si>
    <t>Budi Simatupang</t>
  </si>
  <si>
    <t>2020-I-P1-0005</t>
  </si>
  <si>
    <t>Indah Nasution</t>
  </si>
  <si>
    <t>2023-I-P2-0005</t>
  </si>
  <si>
    <t>Reza Firmansyah</t>
  </si>
  <si>
    <t>2023-I-P1-0007</t>
  </si>
  <si>
    <t>Kiki Rajagukguk</t>
  </si>
  <si>
    <t>2021-S-P1-0006</t>
  </si>
  <si>
    <t>Umar Setiawan</t>
  </si>
  <si>
    <t>2023-I-P3-0003</t>
  </si>
  <si>
    <t>Nanda Aritonang</t>
  </si>
  <si>
    <t>2025-H-P3-0002</t>
  </si>
  <si>
    <t>Wahyu Marpaung</t>
  </si>
  <si>
    <t>2018-L-P1-0003</t>
  </si>
  <si>
    <t>Rudi Syahputra</t>
  </si>
  <si>
    <t>2019-S-P5-0001</t>
  </si>
  <si>
    <t>2025-O-P2-0004</t>
  </si>
  <si>
    <t>Hadi Kusuma</t>
  </si>
  <si>
    <t>2015-L-P1-0002</t>
  </si>
  <si>
    <t>Budi Nugroho</t>
  </si>
  <si>
    <t>2021-M-P1-0003</t>
  </si>
  <si>
    <t>Siti Iskandar</t>
  </si>
  <si>
    <t>2023-M-P1-0003</t>
  </si>
  <si>
    <t>Kartika Purnomo</t>
  </si>
  <si>
    <t>2015-L-P1-0003</t>
  </si>
  <si>
    <t>Krisna Hidayat</t>
  </si>
  <si>
    <t>2016-O-P2-0003</t>
  </si>
  <si>
    <t>Arif Sitompul</t>
  </si>
  <si>
    <t>2022-O-P1-0008</t>
  </si>
  <si>
    <t>Yanti Ridwan</t>
  </si>
  <si>
    <t>2022-H-P1-0004</t>
  </si>
  <si>
    <t>Doni Yulianto</t>
  </si>
  <si>
    <t>2020-M-P2-0004</t>
  </si>
  <si>
    <t>Tina Handoko</t>
  </si>
  <si>
    <t>2020-H-P2-0002</t>
  </si>
  <si>
    <t>Iwan Marpaung</t>
  </si>
  <si>
    <t>2017-S-P3-0005</t>
  </si>
  <si>
    <t>Hadi Hutapea</t>
  </si>
  <si>
    <t>2018-F-P3-0002</t>
  </si>
  <si>
    <t>Okta Lesmana</t>
  </si>
  <si>
    <t>2016-S-P5-0002</t>
  </si>
  <si>
    <t>Gita Aritonang</t>
  </si>
  <si>
    <t>2024-L-P2-0003</t>
  </si>
  <si>
    <t>Lia Firmansyah</t>
  </si>
  <si>
    <t>2024-F-P1-0002</t>
  </si>
  <si>
    <t>Bagas Marpaung</t>
  </si>
  <si>
    <t>2017-I-P5-0001</t>
  </si>
  <si>
    <t>Tina Tampubolon</t>
  </si>
  <si>
    <t>2018-I-P2-0004</t>
  </si>
  <si>
    <t>Ika Utomo</t>
  </si>
  <si>
    <t>2019-F-P1-0008</t>
  </si>
  <si>
    <t>Reza Wahyudi</t>
  </si>
  <si>
    <t>2020-L-P4-0001</t>
  </si>
  <si>
    <t>Kartika Panjaitan</t>
  </si>
  <si>
    <t>2018-O-P1-0001</t>
  </si>
  <si>
    <t>Rahmat Suryadi</t>
  </si>
  <si>
    <t>2017-I-P3-0004</t>
  </si>
  <si>
    <t>Iwan Siregar</t>
  </si>
  <si>
    <t>2019-M-P4-0002</t>
  </si>
  <si>
    <t>Agus Simanjuntak</t>
  </si>
  <si>
    <t>2019-I-P3-0002</t>
  </si>
  <si>
    <t>2019-L-P1-0004</t>
  </si>
  <si>
    <t>Fitri Lesmana</t>
  </si>
  <si>
    <t>2025-M-P1-0002</t>
  </si>
  <si>
    <t>Yasmin Kurniawan</t>
  </si>
  <si>
    <t>2016-I-P2-0004</t>
  </si>
  <si>
    <t>2021-S-P2-0003</t>
  </si>
  <si>
    <t>Maya Saputra</t>
  </si>
  <si>
    <t>2020-S-P1-0004</t>
  </si>
  <si>
    <t>Rahmat Silalahi</t>
  </si>
  <si>
    <t>2020-S-P2-0004</t>
  </si>
  <si>
    <t>Dina Siregar</t>
  </si>
  <si>
    <t>2018-S-P1-0006</t>
  </si>
  <si>
    <t>Winda Fadillah</t>
  </si>
  <si>
    <t>2016-I-P2-0005</t>
  </si>
  <si>
    <t>Dewi Ridwan</t>
  </si>
  <si>
    <t>2024-F-P1-0003</t>
  </si>
  <si>
    <t>Tuti Setiadi</t>
  </si>
  <si>
    <t>2017-M-P3-0002</t>
  </si>
  <si>
    <t>Dewi Kusuma</t>
  </si>
  <si>
    <t>2023-L-P2-0003</t>
  </si>
  <si>
    <t>Lestari Fadillah</t>
  </si>
  <si>
    <t>2024-I-P2-0004</t>
  </si>
  <si>
    <t>Prita Sitompul</t>
  </si>
  <si>
    <t>2016-I-P1-0003</t>
  </si>
  <si>
    <t>Aditya Handoko</t>
  </si>
  <si>
    <t>2017-L-P1-0003</t>
  </si>
  <si>
    <t>Miko Santoso</t>
  </si>
  <si>
    <t>2019-H-P3-0002</t>
  </si>
  <si>
    <t>Puspita Silalahi</t>
  </si>
  <si>
    <t>2021-M-P2-0005</t>
  </si>
  <si>
    <t>Melati Nugroho</t>
  </si>
  <si>
    <t>2016-I-P2-0006</t>
  </si>
  <si>
    <t>Lukman Junaedi</t>
  </si>
  <si>
    <t>2023-O-P1-0003</t>
  </si>
  <si>
    <t>Hadi Saputra</t>
  </si>
  <si>
    <t>2022-M-P2-0007</t>
  </si>
  <si>
    <t>2015-M-P1-0006</t>
  </si>
  <si>
    <t>Yuni Kurniawan</t>
  </si>
  <si>
    <t>2016-F-P1-0003</t>
  </si>
  <si>
    <t>Ayu Wahyudi</t>
  </si>
  <si>
    <t>2015-L-P1-0004</t>
  </si>
  <si>
    <t>Bimo Susanto</t>
  </si>
  <si>
    <t>2022-F-P1-0004</t>
  </si>
  <si>
    <t>Arif Sinaga</t>
  </si>
  <si>
    <t>2018-S-P5-0001</t>
  </si>
  <si>
    <t>Putri Situmorang</t>
  </si>
  <si>
    <t>2019-L-P1-0005</t>
  </si>
  <si>
    <t>Vera Kusuma</t>
  </si>
  <si>
    <t>2025-L-P1-0003</t>
  </si>
  <si>
    <t>Agus Wardana</t>
  </si>
  <si>
    <t>2015-F-P3-0002</t>
  </si>
  <si>
    <t>Panji Setiawan</t>
  </si>
  <si>
    <t>2015-M-P3-0002</t>
  </si>
  <si>
    <t>Hendro Fadillah</t>
  </si>
  <si>
    <t>2017-I-P1-0005</t>
  </si>
  <si>
    <t>Okta Wahyudi</t>
  </si>
  <si>
    <t>2023-O-P1-0004</t>
  </si>
  <si>
    <t>Imam Purnomo</t>
  </si>
  <si>
    <t>2018-H-P3-0001</t>
  </si>
  <si>
    <t>Wulan Syahputra</t>
  </si>
  <si>
    <t>2023-L-P2-0004</t>
  </si>
  <si>
    <t>Imam Anggraini</t>
  </si>
  <si>
    <t>2022-L-P4-0003</t>
  </si>
  <si>
    <t>Qori Rajagukguk</t>
  </si>
  <si>
    <t>2023-L-P2-0005</t>
  </si>
  <si>
    <t>Yasmin Yulianto</t>
  </si>
  <si>
    <t>2020-O-P2-0003</t>
  </si>
  <si>
    <t>Ika Syahputra</t>
  </si>
  <si>
    <t>2025-I-P3-0003</t>
  </si>
  <si>
    <t>Indah Aritonang</t>
  </si>
  <si>
    <t>2016-M-P2-0006</t>
  </si>
  <si>
    <t>Ani Gunawan</t>
  </si>
  <si>
    <t>2022-F-P1-0005</t>
  </si>
  <si>
    <t>Lia Prasetyo</t>
  </si>
  <si>
    <t>2024-L-P1-0005</t>
  </si>
  <si>
    <t>Bayu Silalahi</t>
  </si>
  <si>
    <t>2022-O-P2-0006</t>
  </si>
  <si>
    <t>Ricky Rajagukguk</t>
  </si>
  <si>
    <t>2024-L-P2-0004</t>
  </si>
  <si>
    <t>Vera Saputra</t>
  </si>
  <si>
    <t>2016-S-P1-0004</t>
  </si>
  <si>
    <t>Tuti Anggraini</t>
  </si>
  <si>
    <t>2023-S-P2-0001</t>
  </si>
  <si>
    <t>Winda Hidayat</t>
  </si>
  <si>
    <t>2025-I-P4-0002</t>
  </si>
  <si>
    <t>Ratna Rahayu</t>
  </si>
  <si>
    <t>2024-I-P4-0002</t>
  </si>
  <si>
    <t>2021-O-P3-0003</t>
  </si>
  <si>
    <t>Nita Suryadi</t>
  </si>
  <si>
    <t>2019-L-P5-0001</t>
  </si>
  <si>
    <t>Dina Simanjuntak</t>
  </si>
  <si>
    <t>2015-M-P1-0007</t>
  </si>
  <si>
    <t>2019-M-P2-0002</t>
  </si>
  <si>
    <t>2017-L-P1-0004</t>
  </si>
  <si>
    <t>Panji Suryadi</t>
  </si>
  <si>
    <t>2021-M-P4-0002</t>
  </si>
  <si>
    <t>2024-O-P4-0001</t>
  </si>
  <si>
    <t>Qori Prasetyo</t>
  </si>
  <si>
    <t>2015-O-P1-0003</t>
  </si>
  <si>
    <t>Citra Siregar</t>
  </si>
  <si>
    <t>2015-S-P3-0003</t>
  </si>
  <si>
    <t>Doni Pratama</t>
  </si>
  <si>
    <t>2024-F-P1-0004</t>
  </si>
  <si>
    <t>Tina Purnomo</t>
  </si>
  <si>
    <t>2024-M-P2-0004</t>
  </si>
  <si>
    <t>Bayu Nasution</t>
  </si>
  <si>
    <t>2020-H-P2-0003</t>
  </si>
  <si>
    <t>2023-I-P3-0004</t>
  </si>
  <si>
    <t>Eko Junaedi</t>
  </si>
  <si>
    <t>2024-F-P2-0005</t>
  </si>
  <si>
    <t>Alif Tampubolon</t>
  </si>
  <si>
    <t>2021-L-P3-0002</t>
  </si>
  <si>
    <t>Lia Wibowo</t>
  </si>
  <si>
    <t>2018-L-P1-0004</t>
  </si>
  <si>
    <t>Qonita Wijaya</t>
  </si>
  <si>
    <t>2022-M-P1-0003</t>
  </si>
  <si>
    <t>2016-H-P3-0001</t>
  </si>
  <si>
    <t>Melati Aritonang</t>
  </si>
  <si>
    <t>2016-L-P2-0003</t>
  </si>
  <si>
    <t>2023-O-P1-0005</t>
  </si>
  <si>
    <t>Fani Aritonang</t>
  </si>
  <si>
    <t>2023-H-P1-0005</t>
  </si>
  <si>
    <t>2025-H-P1-0005</t>
  </si>
  <si>
    <t>Umar Firmansyah</t>
  </si>
  <si>
    <t>2019-O-P4-0001</t>
  </si>
  <si>
    <t>Tuti Purnomo</t>
  </si>
  <si>
    <t>2024-M-P1-0006</t>
  </si>
  <si>
    <t>Putri Manurung</t>
  </si>
  <si>
    <t>2023-L-P1-0002</t>
  </si>
  <si>
    <t>Irfan Iskandar</t>
  </si>
  <si>
    <t>2025-L-P1-0004</t>
  </si>
  <si>
    <t>Krisna Firmansyah</t>
  </si>
  <si>
    <t>2023-L-P1-0003</t>
  </si>
  <si>
    <t>Yanti Simanjuntak</t>
  </si>
  <si>
    <t>2025-M-P4-0002</t>
  </si>
  <si>
    <t>Sinta Purnomo</t>
  </si>
  <si>
    <t>2024-L-P2-0005</t>
  </si>
  <si>
    <t>Eko Permata</t>
  </si>
  <si>
    <t>2023-F-P2-0004</t>
  </si>
  <si>
    <t>Cahyo Susanto</t>
  </si>
  <si>
    <t>2023-M-P5-0001</t>
  </si>
  <si>
    <t>Fitri Rahayu</t>
  </si>
  <si>
    <t>2020-I-P5-0001</t>
  </si>
  <si>
    <t>Tono Panjaitan</t>
  </si>
  <si>
    <t>2018-H-P1-0002</t>
  </si>
  <si>
    <t>Dewi Junaedi</t>
  </si>
  <si>
    <t>2018-M-P1-0002</t>
  </si>
  <si>
    <t>Sinta Wijaya</t>
  </si>
  <si>
    <t>2024-I-P3-0004</t>
  </si>
  <si>
    <t>Novi Rahayu</t>
  </si>
  <si>
    <t>2018-F-P1-0004</t>
  </si>
  <si>
    <t>Xenia Santoso</t>
  </si>
  <si>
    <t>2025-F-P3-0003</t>
  </si>
  <si>
    <t>Joko Rahayu</t>
  </si>
  <si>
    <t>2018-I-P2-0005</t>
  </si>
  <si>
    <t>Ani Silalahi</t>
  </si>
  <si>
    <t>2024-M-P2-0005</t>
  </si>
  <si>
    <t>Taufik Maulana</t>
  </si>
  <si>
    <t>2018-M-P2-0004</t>
  </si>
  <si>
    <t>Alif Kusuma</t>
  </si>
  <si>
    <t>2022-I-P4-0001</t>
  </si>
  <si>
    <t>2015-S-P2-0001</t>
  </si>
  <si>
    <t>Wahyu Situmorang</t>
  </si>
  <si>
    <t>2017-O-P2-0003</t>
  </si>
  <si>
    <t>Tina Sitompul</t>
  </si>
  <si>
    <t>2015-F-P2-0003</t>
  </si>
  <si>
    <t>Umi Anggraini</t>
  </si>
  <si>
    <t>2025-S-P3-0004</t>
  </si>
  <si>
    <t>Umi Syahputra</t>
  </si>
  <si>
    <t>2020-H-P2-0004</t>
  </si>
  <si>
    <t>Tuti Syahputra</t>
  </si>
  <si>
    <t>2015-O-P1-0004</t>
  </si>
  <si>
    <t>2017-F-P3-0002</t>
  </si>
  <si>
    <t>Agus Siregar</t>
  </si>
  <si>
    <t>2017-H-P4-0002</t>
  </si>
  <si>
    <t>Putri Santoso</t>
  </si>
  <si>
    <t>2022-O-P2-0007</t>
  </si>
  <si>
    <t>Budi Silalahi</t>
  </si>
  <si>
    <t>2022-I-P2-0001</t>
  </si>
  <si>
    <t>2018-H-P1-0003</t>
  </si>
  <si>
    <t>Rina Prasetyo</t>
  </si>
  <si>
    <t>2024-O-P2-0002</t>
  </si>
  <si>
    <t>2025-L-P2-0004</t>
  </si>
  <si>
    <t>Wibowo Fadillah</t>
  </si>
  <si>
    <t>2024-L-P4-0001</t>
  </si>
  <si>
    <t>Nur Ridwan</t>
  </si>
  <si>
    <t>2021-O-P2-0003</t>
  </si>
  <si>
    <t>Puspita Marpaung</t>
  </si>
  <si>
    <t>2021-M-P1-0004</t>
  </si>
  <si>
    <t>Fajar Aritonang</t>
  </si>
  <si>
    <t>2024-O-P5-0001</t>
  </si>
  <si>
    <t>Sigit Nasution</t>
  </si>
  <si>
    <t>2024-M-P1-0007</t>
  </si>
  <si>
    <t>2024-F-P3-0002</t>
  </si>
  <si>
    <t>Hadi Santoso</t>
  </si>
  <si>
    <t>2018-O-P2-0001</t>
  </si>
  <si>
    <t>Rani Siregar</t>
  </si>
  <si>
    <t>2018-H-P2-0002</t>
  </si>
  <si>
    <t>Wibowo Kurniawan</t>
  </si>
  <si>
    <t>2023-M-P1-0004</t>
  </si>
  <si>
    <t>Budi Setiawan</t>
  </si>
  <si>
    <t>2024-H-P3-0002</t>
  </si>
  <si>
    <t>Hadi Wahyudi</t>
  </si>
  <si>
    <t>2015-S-P1-0004</t>
  </si>
  <si>
    <t>Indah Yulianto</t>
  </si>
  <si>
    <t>2015-O-P2-0001</t>
  </si>
  <si>
    <t>Oscar Syahputra</t>
  </si>
  <si>
    <t>Lama Bekerja</t>
  </si>
  <si>
    <t>Total Jam Lembur</t>
  </si>
  <si>
    <t>SLIP GAJI PEGAWAI</t>
  </si>
  <si>
    <t>Nama</t>
  </si>
  <si>
    <t>Tanggal</t>
  </si>
  <si>
    <t>DITERIMA</t>
  </si>
  <si>
    <t>DIPOTONG</t>
  </si>
  <si>
    <t>PPh21</t>
  </si>
  <si>
    <t>Pph21</t>
  </si>
  <si>
    <t>Total Penerimaan</t>
  </si>
  <si>
    <t>Total Potongan</t>
  </si>
  <si>
    <t>Gaji Bersih</t>
  </si>
  <si>
    <t>Terbilang</t>
  </si>
  <si>
    <t xml:space="preserve"> </t>
  </si>
  <si>
    <t>Form Print Out Slip Gaji</t>
  </si>
  <si>
    <t>Masukan NIP Anda</t>
  </si>
  <si>
    <t>Penerima</t>
  </si>
  <si>
    <t>Diserahkan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</si>
</sst>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-421]#,##0"/>
    <numFmt numFmtId="165" formatCode="_-[$Rp-421]* #,##0_-;\-[$Rp-421]* #,##0_-;_-[$Rp-421]* &quot;-&quot;_-;_-@_-"/>
    <numFmt numFmtId="166" formatCode="@* &quot; &quot;\:"/>
    <numFmt numFmtId="167" formatCode="@* &quot; &quot;\:\ &quot; 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48">
    <xf numFmtId="0" fontId="0" fillId="0" borderId="0" xfId="0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0" fontId="5" fillId="0" borderId="1" xfId="0" applyFont="1" applyBorder="1"/>
    <xf numFmtId="0" fontId="5" fillId="0" borderId="0" xfId="0" applyFont="1"/>
    <xf numFmtId="14" fontId="5" fillId="0" borderId="1" xfId="0" applyNumberFormat="1" applyFont="1" applyBorder="1"/>
    <xf numFmtId="165" fontId="0" fillId="0" borderId="0" xfId="0" applyNumberFormat="1"/>
    <xf numFmtId="165" fontId="6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7" fillId="0" borderId="4" xfId="0" applyFont="1" applyBorder="1" applyAlignment="1">
      <alignment horizontal="center"/>
    </xf>
    <xf numFmtId="0" fontId="7" fillId="0" borderId="2" xfId="0" applyFont="1" applyBorder="1"/>
    <xf numFmtId="0" fontId="1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Continuous" vertical="center"/>
    </xf>
    <xf numFmtId="165" fontId="0" fillId="0" borderId="5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7" fillId="0" borderId="4" xfId="0" applyNumberFormat="1" applyFont="1" applyBorder="1"/>
    <xf numFmtId="0" fontId="10" fillId="0" borderId="0" xfId="0" applyFont="1"/>
    <xf numFmtId="0" fontId="0" fillId="0" borderId="0" xfId="0" applyFill="1"/>
    <xf numFmtId="0" fontId="0" fillId="0" borderId="9" xfId="0" applyBorder="1"/>
    <xf numFmtId="0" fontId="0" fillId="0" borderId="10" xfId="0" applyBorder="1"/>
    <xf numFmtId="166" fontId="0" fillId="0" borderId="9" xfId="0" applyNumberFormat="1" applyBorder="1"/>
    <xf numFmtId="14" fontId="0" fillId="0" borderId="0" xfId="0" applyNumberFormat="1" applyBorder="1"/>
    <xf numFmtId="0" fontId="7" fillId="0" borderId="11" xfId="0" applyFont="1" applyBorder="1" applyAlignment="1">
      <alignment horizontal="center"/>
    </xf>
    <xf numFmtId="167" fontId="0" fillId="0" borderId="9" xfId="0" applyNumberFormat="1" applyBorder="1"/>
    <xf numFmtId="167" fontId="0" fillId="0" borderId="0" xfId="0" applyNumberFormat="1" applyBorder="1"/>
    <xf numFmtId="165" fontId="0" fillId="0" borderId="0" xfId="0" applyNumberFormat="1" applyBorder="1"/>
    <xf numFmtId="0" fontId="9" fillId="0" borderId="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8" fillId="0" borderId="6" xfId="0" applyFont="1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Microsoft/AddIns/CK-Terbilang%204.0.xlam" TargetMode="External"/><Relationship Id="rId2" Type="http://schemas.openxmlformats.org/officeDocument/2006/relationships/externalLinkPath" Target="file:///C:\Users\User\AppData\Roaming\Microsoft\AddIns\CK-Terbilang%204.0.xlam" TargetMode="External"/><Relationship Id="rId1" Type="http://schemas.openxmlformats.org/officeDocument/2006/relationships/externalLinkPath" Target="/Users/User/AppData/Roaming/Microsoft/AddIns/CK-Terbilang%204.0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FD21-8833-4D4E-993A-761DEF062F2B}">
  <dimension ref="B1:G50"/>
  <sheetViews>
    <sheetView showGridLines="0" zoomScale="55" zoomScaleNormal="55" workbookViewId="0">
      <selection activeCell="I17" sqref="I17"/>
    </sheetView>
  </sheetViews>
  <sheetFormatPr defaultRowHeight="14.4" x14ac:dyDescent="0.3"/>
  <cols>
    <col min="2" max="2" width="22.21875" customWidth="1"/>
    <col min="3" max="3" width="21.77734375" customWidth="1"/>
    <col min="4" max="4" width="24.88671875" customWidth="1"/>
    <col min="5" max="5" width="24.21875" customWidth="1"/>
    <col min="7" max="7" width="17.33203125" bestFit="1" customWidth="1"/>
  </cols>
  <sheetData>
    <row r="1" spans="2:7" ht="25.8" x14ac:dyDescent="0.5">
      <c r="B1" s="30" t="s">
        <v>1416</v>
      </c>
    </row>
    <row r="2" spans="2:7" x14ac:dyDescent="0.3">
      <c r="B2" t="s">
        <v>1417</v>
      </c>
    </row>
    <row r="3" spans="2:7" x14ac:dyDescent="0.3">
      <c r="B3" s="47" t="s">
        <v>68</v>
      </c>
      <c r="C3" s="47"/>
    </row>
    <row r="4" spans="2:7" x14ac:dyDescent="0.3">
      <c r="B4" s="31"/>
      <c r="C4" s="31"/>
    </row>
    <row r="5" spans="2:7" x14ac:dyDescent="0.3">
      <c r="B5" s="31"/>
      <c r="C5" s="31"/>
    </row>
    <row r="6" spans="2:7" ht="15" thickBot="1" x14ac:dyDescent="0.35">
      <c r="B6" s="31"/>
      <c r="C6" s="31"/>
    </row>
    <row r="7" spans="2:7" ht="21" x14ac:dyDescent="0.3">
      <c r="B7" s="44" t="s">
        <v>1404</v>
      </c>
      <c r="C7" s="45"/>
      <c r="D7" s="45"/>
      <c r="E7" s="45"/>
      <c r="F7" s="46"/>
    </row>
    <row r="8" spans="2:7" x14ac:dyDescent="0.3">
      <c r="B8" s="32"/>
      <c r="C8" s="17"/>
      <c r="D8" s="17"/>
      <c r="E8" s="17"/>
      <c r="F8" s="33"/>
    </row>
    <row r="9" spans="2:7" x14ac:dyDescent="0.3">
      <c r="B9" s="34" t="s">
        <v>1</v>
      </c>
      <c r="C9" s="17" t="str">
        <f>B3</f>
        <v>2015-F-P3-0001</v>
      </c>
      <c r="D9" s="17"/>
      <c r="E9" s="17"/>
      <c r="F9" s="33"/>
    </row>
    <row r="10" spans="2:7" x14ac:dyDescent="0.3">
      <c r="B10" s="34" t="s">
        <v>1405</v>
      </c>
      <c r="C10" s="17" t="str">
        <f>_xlfn.XLOOKUP(C9,'Data Gaji Pegawai'!B1:B702,'Data Gaji Pegawai'!C1:C702,0)</f>
        <v>Dian Simanjuntak</v>
      </c>
      <c r="D10" s="17"/>
      <c r="E10" s="17"/>
      <c r="F10" s="33"/>
    </row>
    <row r="11" spans="2:7" x14ac:dyDescent="0.3">
      <c r="B11" s="34" t="s">
        <v>3</v>
      </c>
      <c r="C11" s="17" t="str">
        <f>_xlfn.XLOOKUP(C9,'Data Gaji Pegawai'!B1:B702,'Data Gaji Pegawai'!D1:D702,0)</f>
        <v>Finance</v>
      </c>
      <c r="D11" s="17"/>
      <c r="E11" s="17"/>
      <c r="F11" s="33"/>
    </row>
    <row r="12" spans="2:7" x14ac:dyDescent="0.3">
      <c r="B12" s="34" t="s">
        <v>5</v>
      </c>
      <c r="C12" s="17" t="str">
        <f>_xlfn.XLOOKUP(C9,'Data Gaji Pegawai'!B1:B702,'Data Gaji Pegawai'!E1:E702,0)</f>
        <v>Supervisor</v>
      </c>
      <c r="D12" s="17"/>
      <c r="E12" s="17"/>
      <c r="F12" s="33"/>
    </row>
    <row r="13" spans="2:7" x14ac:dyDescent="0.3">
      <c r="B13" s="34" t="s">
        <v>1406</v>
      </c>
      <c r="C13" s="35">
        <f ca="1">TODAY()</f>
        <v>46205</v>
      </c>
      <c r="D13" s="17"/>
      <c r="E13" s="17"/>
      <c r="F13" s="33"/>
      <c r="G13" s="13"/>
    </row>
    <row r="14" spans="2:7" x14ac:dyDescent="0.3">
      <c r="B14" s="32"/>
      <c r="C14" s="17"/>
      <c r="D14" s="17"/>
      <c r="E14" s="17"/>
      <c r="F14" s="33"/>
    </row>
    <row r="15" spans="2:7" x14ac:dyDescent="0.3">
      <c r="B15" s="32"/>
      <c r="C15" s="17"/>
      <c r="D15" s="17"/>
      <c r="E15" s="17"/>
      <c r="F15" s="33"/>
    </row>
    <row r="16" spans="2:7" x14ac:dyDescent="0.3">
      <c r="B16" s="36" t="s">
        <v>1407</v>
      </c>
      <c r="C16" s="19"/>
      <c r="D16" s="20" t="s">
        <v>1408</v>
      </c>
      <c r="E16" s="19"/>
      <c r="F16" s="33"/>
    </row>
    <row r="17" spans="2:6" x14ac:dyDescent="0.3">
      <c r="B17" s="37" t="s">
        <v>4</v>
      </c>
      <c r="C17" s="26">
        <f>_xlfn.XLOOKUP(C9,'Data Gaji Pegawai'!B1:B702,'Data Gaji Pegawai'!G1:G702,0)</f>
        <v>8000000</v>
      </c>
      <c r="D17" s="38" t="s">
        <v>12</v>
      </c>
      <c r="E17" s="28">
        <f>_xlfn.XLOOKUP(C9,'Data Gaji Pegawai'!B1:B702,'Data Gaji Pegawai'!M1:M702,0)</f>
        <v>160000</v>
      </c>
      <c r="F17" s="33"/>
    </row>
    <row r="18" spans="2:6" x14ac:dyDescent="0.3">
      <c r="B18" s="37" t="s">
        <v>6</v>
      </c>
      <c r="C18" s="26">
        <f>_xlfn.XLOOKUP(C9,'Data Gaji Pegawai'!B1:B702,'Data Gaji Pegawai'!I1:I702,0)</f>
        <v>400000</v>
      </c>
      <c r="D18" s="38" t="s">
        <v>13</v>
      </c>
      <c r="E18" s="28">
        <f>_xlfn.XLOOKUP(C9,'Data Gaji Pegawai'!B1:B702,'Data Gaji Pegawai'!O1:O702,0)</f>
        <v>80000</v>
      </c>
      <c r="F18" s="33"/>
    </row>
    <row r="19" spans="2:6" x14ac:dyDescent="0.3">
      <c r="B19" s="37" t="s">
        <v>7</v>
      </c>
      <c r="C19" s="39">
        <f ca="1">_xlfn.XLOOKUP(C9,'Data Gaji Pegawai'!B1:B702,'Data Gaji Pegawai'!K1:K702,0)</f>
        <v>0</v>
      </c>
      <c r="D19" s="38" t="s">
        <v>10</v>
      </c>
      <c r="E19" s="28">
        <f>_xlfn.XLOOKUP(C9,'Data Gaji Pegawai'!B1:B702,'Data Gaji Pegawai'!R1:R702,0)</f>
        <v>3000000</v>
      </c>
      <c r="F19" s="33"/>
    </row>
    <row r="20" spans="2:6" x14ac:dyDescent="0.3">
      <c r="B20" s="37" t="s">
        <v>12</v>
      </c>
      <c r="C20" s="26">
        <f>_xlfn.XLOOKUP(C9,'Data Gaji Pegawai'!B1:B702,'Data Gaji Pegawai'!L1:L702,0)</f>
        <v>296000.00000000006</v>
      </c>
      <c r="D20" s="38" t="s">
        <v>1410</v>
      </c>
      <c r="E20" s="28">
        <f>_xlfn.XLOOKUP(C9,'Data Gaji Pegawai'!B1:B702,'Data Gaji Pegawai'!S1:S702,0)</f>
        <v>640000</v>
      </c>
      <c r="F20" s="33"/>
    </row>
    <row r="21" spans="2:6" x14ac:dyDescent="0.3">
      <c r="B21" s="37" t="s">
        <v>13</v>
      </c>
      <c r="C21" s="26">
        <f>_xlfn.XLOOKUP(C9,'Data Gaji Pegawai'!B1:B702,'Data Gaji Pegawai'!N1:N702,0)</f>
        <v>320000</v>
      </c>
      <c r="D21" s="17"/>
      <c r="E21" s="17"/>
      <c r="F21" s="33"/>
    </row>
    <row r="22" spans="2:6" x14ac:dyDescent="0.3">
      <c r="B22" s="37" t="s">
        <v>9</v>
      </c>
      <c r="C22" s="26">
        <f>_xlfn.XLOOKUP(C9,'Data Gaji Pegawai'!B1:B702,'Data Gaji Pegawai'!Q1:Q702,0)</f>
        <v>1200000</v>
      </c>
      <c r="D22" s="17"/>
      <c r="E22" s="17"/>
      <c r="F22" s="33"/>
    </row>
    <row r="23" spans="2:6" x14ac:dyDescent="0.3">
      <c r="B23" s="32"/>
      <c r="C23" s="18"/>
      <c r="D23" s="17"/>
      <c r="E23" s="17"/>
      <c r="F23" s="33"/>
    </row>
    <row r="24" spans="2:6" x14ac:dyDescent="0.3">
      <c r="B24" s="32"/>
      <c r="C24" s="18"/>
      <c r="D24" s="17"/>
      <c r="E24" s="17"/>
      <c r="F24" s="33"/>
    </row>
    <row r="25" spans="2:6" x14ac:dyDescent="0.3">
      <c r="B25" s="34" t="s">
        <v>1411</v>
      </c>
      <c r="C25" s="27">
        <f ca="1">SUM(C17:C22)</f>
        <v>10216000</v>
      </c>
      <c r="D25" s="38" t="s">
        <v>1412</v>
      </c>
      <c r="E25" s="28">
        <f>SUM(E17:E20)</f>
        <v>3880000</v>
      </c>
      <c r="F25" s="33"/>
    </row>
    <row r="26" spans="2:6" x14ac:dyDescent="0.3">
      <c r="B26" s="32"/>
      <c r="C26" s="18"/>
      <c r="D26" s="17"/>
      <c r="E26" s="17"/>
      <c r="F26" s="33"/>
    </row>
    <row r="27" spans="2:6" x14ac:dyDescent="0.3">
      <c r="B27" s="32"/>
      <c r="C27" s="21" t="s">
        <v>1413</v>
      </c>
      <c r="D27" s="38" t="s">
        <v>1415</v>
      </c>
      <c r="E27" s="29">
        <f ca="1">C25-E25</f>
        <v>6336000</v>
      </c>
      <c r="F27" s="33"/>
    </row>
    <row r="28" spans="2:6" x14ac:dyDescent="0.3">
      <c r="B28" s="32"/>
      <c r="C28" s="21" t="s">
        <v>1414</v>
      </c>
      <c r="D28" s="40" t="str" cm="1">
        <f t="array" aca="1" ref="D28" ca="1">[1]!Terbilang(E27,3,"",0)&amp; " Rupiah"</f>
        <v>Enam Juta Tiga Ratus Tiga Puluh Enam Ribu  Rupiah</v>
      </c>
      <c r="E28" s="17"/>
      <c r="F28" s="33"/>
    </row>
    <row r="29" spans="2:6" x14ac:dyDescent="0.3">
      <c r="B29" s="32"/>
      <c r="C29" s="17"/>
      <c r="D29" s="17"/>
      <c r="E29" s="17"/>
      <c r="F29" s="33"/>
    </row>
    <row r="30" spans="2:6" x14ac:dyDescent="0.3">
      <c r="B30" s="32"/>
      <c r="C30" s="17"/>
      <c r="D30" s="17"/>
      <c r="E30" s="17"/>
      <c r="F30" s="33"/>
    </row>
    <row r="31" spans="2:6" x14ac:dyDescent="0.3">
      <c r="B31" s="32"/>
      <c r="C31" s="17"/>
      <c r="D31" s="17"/>
      <c r="E31" s="17"/>
      <c r="F31" s="33"/>
    </row>
    <row r="32" spans="2:6" x14ac:dyDescent="0.3">
      <c r="B32" s="32"/>
      <c r="C32" s="17"/>
      <c r="D32" s="17"/>
      <c r="E32" s="17"/>
      <c r="F32" s="33"/>
    </row>
    <row r="33" spans="2:6" x14ac:dyDescent="0.3">
      <c r="B33" s="32"/>
      <c r="C33" s="17"/>
      <c r="D33" s="17"/>
      <c r="E33" s="17"/>
      <c r="F33" s="33"/>
    </row>
    <row r="34" spans="2:6" x14ac:dyDescent="0.3">
      <c r="B34" s="32"/>
      <c r="C34" s="17"/>
      <c r="D34" s="17"/>
      <c r="E34" s="17"/>
      <c r="F34" s="33"/>
    </row>
    <row r="35" spans="2:6" x14ac:dyDescent="0.3">
      <c r="B35" s="32" t="s">
        <v>1418</v>
      </c>
      <c r="C35" s="17"/>
      <c r="D35" s="17"/>
      <c r="E35" s="17" t="s">
        <v>1419</v>
      </c>
      <c r="F35" s="33"/>
    </row>
    <row r="36" spans="2:6" x14ac:dyDescent="0.3">
      <c r="B36" s="32"/>
      <c r="C36" s="17"/>
      <c r="D36" s="17"/>
      <c r="E36" s="17"/>
      <c r="F36" s="33"/>
    </row>
    <row r="37" spans="2:6" x14ac:dyDescent="0.3">
      <c r="B37" s="32"/>
      <c r="C37" s="17"/>
      <c r="D37" s="17"/>
      <c r="E37" s="17"/>
      <c r="F37" s="33"/>
    </row>
    <row r="38" spans="2:6" x14ac:dyDescent="0.3">
      <c r="B38" s="32"/>
      <c r="C38" s="17"/>
      <c r="D38" s="17"/>
      <c r="E38" s="17"/>
      <c r="F38" s="33"/>
    </row>
    <row r="39" spans="2:6" x14ac:dyDescent="0.3">
      <c r="B39" s="32"/>
      <c r="C39" s="17"/>
      <c r="D39" s="17"/>
      <c r="E39" s="17"/>
      <c r="F39" s="33"/>
    </row>
    <row r="40" spans="2:6" x14ac:dyDescent="0.3">
      <c r="B40" s="32"/>
      <c r="C40" s="17"/>
      <c r="D40" s="17"/>
      <c r="E40" s="17"/>
      <c r="F40" s="33"/>
    </row>
    <row r="41" spans="2:6" ht="15" thickBot="1" x14ac:dyDescent="0.35">
      <c r="B41" s="41" t="str">
        <f>C10</f>
        <v>Dian Simanjuntak</v>
      </c>
      <c r="C41" s="17"/>
      <c r="D41" s="17"/>
      <c r="E41" s="42" t="str">
        <f>"Finance Manager"</f>
        <v>Finance Manager</v>
      </c>
      <c r="F41" s="33"/>
    </row>
    <row r="42" spans="2:6" x14ac:dyDescent="0.3">
      <c r="B42" s="32"/>
      <c r="C42" s="17"/>
      <c r="D42" s="17"/>
      <c r="E42" s="17"/>
      <c r="F42" s="33"/>
    </row>
    <row r="43" spans="2:6" x14ac:dyDescent="0.3">
      <c r="B43" s="32"/>
      <c r="C43" s="17"/>
      <c r="D43" s="17"/>
      <c r="E43" s="17"/>
      <c r="F43" s="33"/>
    </row>
    <row r="44" spans="2:6" x14ac:dyDescent="0.3">
      <c r="B44" s="32"/>
      <c r="C44" s="17"/>
      <c r="D44" s="17"/>
      <c r="E44" s="17"/>
      <c r="F44" s="33"/>
    </row>
    <row r="45" spans="2:6" x14ac:dyDescent="0.3">
      <c r="B45" s="32"/>
      <c r="C45" s="17"/>
      <c r="D45" s="17"/>
      <c r="E45" s="17"/>
      <c r="F45" s="33"/>
    </row>
    <row r="46" spans="2:6" x14ac:dyDescent="0.3">
      <c r="B46" s="32"/>
      <c r="C46" s="17"/>
      <c r="D46" s="17"/>
      <c r="E46" s="17"/>
      <c r="F46" s="33"/>
    </row>
    <row r="47" spans="2:6" x14ac:dyDescent="0.3">
      <c r="B47" s="32"/>
      <c r="C47" s="17"/>
      <c r="D47" s="17"/>
      <c r="E47" s="17"/>
      <c r="F47" s="33"/>
    </row>
    <row r="48" spans="2:6" x14ac:dyDescent="0.3">
      <c r="B48" s="32"/>
      <c r="C48" s="17"/>
      <c r="D48" s="17"/>
      <c r="E48" s="17"/>
      <c r="F48" s="33"/>
    </row>
    <row r="49" spans="2:6" x14ac:dyDescent="0.3">
      <c r="B49" s="32"/>
      <c r="C49" s="17"/>
      <c r="D49" s="17"/>
      <c r="E49" s="17"/>
      <c r="F49" s="33"/>
    </row>
    <row r="50" spans="2:6" ht="15" thickBot="1" x14ac:dyDescent="0.35">
      <c r="B50" s="41"/>
      <c r="C50" s="42"/>
      <c r="D50" s="42"/>
      <c r="E50" s="42"/>
      <c r="F50" s="43"/>
    </row>
  </sheetData>
  <mergeCells count="1">
    <mergeCell ref="B3:C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21FA13-FF3F-45F5-8591-53F93C08FF1F}">
          <x14:formula1>
            <xm:f>'Data Gaji Pegawai'!$B$3:$B$702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EDED-FDE0-4289-A6B3-59D01BA970DB}">
  <dimension ref="A1:X702"/>
  <sheetViews>
    <sheetView tabSelected="1" zoomScale="117" workbookViewId="0">
      <selection activeCell="K3" sqref="K3"/>
    </sheetView>
  </sheetViews>
  <sheetFormatPr defaultRowHeight="14.4" x14ac:dyDescent="0.3"/>
  <cols>
    <col min="2" max="2" width="14.77734375" bestFit="1" customWidth="1"/>
    <col min="3" max="3" width="18" bestFit="1" customWidth="1"/>
    <col min="4" max="4" width="23.77734375" bestFit="1" customWidth="1"/>
    <col min="5" max="6" width="13.109375" bestFit="1" customWidth="1"/>
    <col min="7" max="7" width="13.88671875" customWidth="1"/>
    <col min="8" max="8" width="16.21875" bestFit="1" customWidth="1"/>
    <col min="9" max="9" width="13" bestFit="1" customWidth="1"/>
    <col min="10" max="10" width="13.77734375" customWidth="1"/>
    <col min="11" max="11" width="16.88671875" bestFit="1" customWidth="1"/>
    <col min="12" max="15" width="13.77734375" customWidth="1"/>
    <col min="16" max="16" width="14.6640625" bestFit="1" customWidth="1"/>
    <col min="17" max="17" width="15.109375" bestFit="1" customWidth="1"/>
    <col min="18" max="18" width="12.33203125" bestFit="1" customWidth="1"/>
    <col min="19" max="19" width="11.33203125" style="3" bestFit="1" customWidth="1"/>
    <col min="22" max="22" width="9.6640625" bestFit="1" customWidth="1"/>
    <col min="24" max="24" width="9.6640625" bestFit="1" customWidth="1"/>
  </cols>
  <sheetData>
    <row r="1" spans="1:2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5</v>
      </c>
      <c r="F1" s="15" t="s">
        <v>16</v>
      </c>
      <c r="G1" s="15" t="s">
        <v>4</v>
      </c>
      <c r="H1" s="15" t="s">
        <v>1403</v>
      </c>
      <c r="I1" s="15" t="s">
        <v>6</v>
      </c>
      <c r="J1" s="15" t="s">
        <v>1402</v>
      </c>
      <c r="K1" s="15" t="s">
        <v>7</v>
      </c>
      <c r="L1" s="23" t="s">
        <v>12</v>
      </c>
      <c r="M1" s="24"/>
      <c r="N1" s="22" t="s">
        <v>13</v>
      </c>
      <c r="O1" s="25"/>
      <c r="P1" s="15" t="s">
        <v>8</v>
      </c>
      <c r="Q1" s="15" t="s">
        <v>9</v>
      </c>
      <c r="R1" s="15" t="s">
        <v>10</v>
      </c>
      <c r="S1" s="15" t="s">
        <v>1409</v>
      </c>
    </row>
    <row r="2" spans="1:24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4" t="s">
        <v>14</v>
      </c>
      <c r="M2" s="4" t="s">
        <v>15</v>
      </c>
      <c r="N2" s="4" t="s">
        <v>14</v>
      </c>
      <c r="O2" s="4" t="s">
        <v>15</v>
      </c>
      <c r="P2" s="16"/>
      <c r="Q2" s="16"/>
      <c r="R2" s="16"/>
      <c r="S2" s="16"/>
    </row>
    <row r="3" spans="1:24" x14ac:dyDescent="0.3">
      <c r="A3">
        <v>1</v>
      </c>
      <c r="B3" s="10" t="s">
        <v>50</v>
      </c>
      <c r="C3" s="10" t="s">
        <v>51</v>
      </c>
      <c r="D3" s="11" t="str">
        <f>VLOOKUP(MID(B3,6,1),'Tabel Acuan'!$A$10:$B$17,2,0)</f>
        <v>Human Resources (HR)</v>
      </c>
      <c r="E3" t="str">
        <f>VLOOKUP(MID(B3,8,2),'Tabel Acuan'!$A$1:$B$6,2,0)</f>
        <v>Staff</v>
      </c>
      <c r="F3" s="12">
        <v>45772</v>
      </c>
      <c r="G3" s="8" cm="1">
        <f t="array" ref="G3">INDEX('Tabel Acuan'!$F$4:$F$39,
MATCH(1,('Tabel Acuan'!$D$4:$D$39='Data Gaji Pegawai'!D3)*('Tabel Acuan'!$E$4:$E$39='Data Gaji Pegawai'!E3),0))</f>
        <v>5000000</v>
      </c>
      <c r="H3">
        <f>I3/100000</f>
        <v>8</v>
      </c>
      <c r="I3" s="14">
        <v>800000</v>
      </c>
      <c r="J3">
        <f ca="1">INT((TODAY()-F3)/30.417)</f>
        <v>14</v>
      </c>
      <c r="K3" s="13">
        <f ca="1">IF(MONTH(TODAY())=12, IF(J3&gt;=12,G3,G3*(J3/12)), 0)</f>
        <v>0</v>
      </c>
      <c r="L3" s="8">
        <f>G3*3.7%</f>
        <v>185000.00000000003</v>
      </c>
      <c r="M3" s="8">
        <f>G3*2%</f>
        <v>100000</v>
      </c>
      <c r="N3" s="8">
        <f>G3*4%</f>
        <v>200000</v>
      </c>
      <c r="O3" s="8">
        <f>G3*1%</f>
        <v>50000</v>
      </c>
      <c r="P3">
        <v>3</v>
      </c>
      <c r="Q3" s="13">
        <f>P3*200000</f>
        <v>600000</v>
      </c>
      <c r="R3" s="8">
        <v>2500000</v>
      </c>
      <c r="S3" s="9">
        <f>8%*G3</f>
        <v>400000</v>
      </c>
      <c r="V3" s="8"/>
    </row>
    <row r="4" spans="1:24" x14ac:dyDescent="0.3">
      <c r="A4">
        <v>2</v>
      </c>
      <c r="B4" s="10" t="s">
        <v>52</v>
      </c>
      <c r="C4" s="10" t="s">
        <v>53</v>
      </c>
      <c r="D4" s="11" t="str">
        <f>VLOOKUP(MID(B4,6,1),'Tabel Acuan'!$A$10:$B$17,2,0)</f>
        <v>Marketing</v>
      </c>
      <c r="E4" t="str">
        <f>VLOOKUP(MID(B4,8,2),'Tabel Acuan'!$A$1:$B$6,2,0)</f>
        <v>Senior Staff</v>
      </c>
      <c r="F4" s="12">
        <v>42481</v>
      </c>
      <c r="G4" s="8" cm="1">
        <f t="array" ref="G4">INDEX('Tabel Acuan'!$F$4:$F$39,
MATCH(1,('Tabel Acuan'!$D$4:$D$39='Data Gaji Pegawai'!D4)*('Tabel Acuan'!$E$4:$E$39='Data Gaji Pegawai'!E4),0))</f>
        <v>6400000</v>
      </c>
      <c r="H4">
        <f>I4/100000</f>
        <v>14</v>
      </c>
      <c r="I4" s="14">
        <v>1400000</v>
      </c>
      <c r="J4">
        <f ca="1">INT((TODAY()-F4)/30.417)</f>
        <v>122</v>
      </c>
      <c r="K4" s="13">
        <f t="shared" ref="K4:K67" ca="1" si="0">IF(MONTH(TODAY())=12, IF(J4&gt;=12,G4,G4*(J4/12)), 0)</f>
        <v>0</v>
      </c>
      <c r="L4" s="8">
        <f>G4*3.7%</f>
        <v>236800.00000000003</v>
      </c>
      <c r="M4" s="8">
        <f>G4*2%</f>
        <v>128000</v>
      </c>
      <c r="N4" s="8">
        <f>G4*4%</f>
        <v>256000</v>
      </c>
      <c r="O4" s="8">
        <f>G4*1%</f>
        <v>64000</v>
      </c>
      <c r="P4">
        <v>0</v>
      </c>
      <c r="Q4" s="13">
        <f>P4*200000</f>
        <v>0</v>
      </c>
      <c r="R4" s="8">
        <v>4000000</v>
      </c>
      <c r="S4" s="9">
        <f>8%*G4</f>
        <v>512000</v>
      </c>
      <c r="X4" s="8"/>
    </row>
    <row r="5" spans="1:24" x14ac:dyDescent="0.3">
      <c r="A5">
        <v>3</v>
      </c>
      <c r="B5" s="10" t="s">
        <v>54</v>
      </c>
      <c r="C5" s="10" t="s">
        <v>55</v>
      </c>
      <c r="D5" s="11" t="str">
        <f>VLOOKUP(MID(B5,6,1),'Tabel Acuan'!$A$10:$B$17,2,0)</f>
        <v>Sales</v>
      </c>
      <c r="E5" t="str">
        <f>VLOOKUP(MID(B5,8,2),'Tabel Acuan'!$A$1:$B$6,2,0)</f>
        <v>Senior Staff</v>
      </c>
      <c r="F5" s="12">
        <v>45959</v>
      </c>
      <c r="G5" s="8" cm="1">
        <f t="array" ref="G5">INDEX('Tabel Acuan'!$F$4:$F$39,
MATCH(1,('Tabel Acuan'!$D$4:$D$39='Data Gaji Pegawai'!D5)*('Tabel Acuan'!$E$4:$E$39='Data Gaji Pegawai'!E5),0))</f>
        <v>6000000</v>
      </c>
      <c r="H5">
        <f>I5/100000</f>
        <v>17</v>
      </c>
      <c r="I5" s="14">
        <v>1700000</v>
      </c>
      <c r="J5">
        <f ca="1">INT((TODAY()-F5)/30.417)</f>
        <v>8</v>
      </c>
      <c r="K5" s="13">
        <f t="shared" ca="1" si="0"/>
        <v>0</v>
      </c>
      <c r="L5" s="8">
        <f>G5*3.7%</f>
        <v>222000.00000000003</v>
      </c>
      <c r="M5" s="8">
        <f>G5*2%</f>
        <v>120000</v>
      </c>
      <c r="N5" s="8">
        <f>G5*4%</f>
        <v>240000</v>
      </c>
      <c r="O5" s="8">
        <f>G5*1%</f>
        <v>60000</v>
      </c>
      <c r="P5">
        <v>0</v>
      </c>
      <c r="Q5" s="13">
        <f>P5*200000</f>
        <v>0</v>
      </c>
      <c r="R5" s="8">
        <v>500000</v>
      </c>
      <c r="S5" s="9">
        <f>8%*G5</f>
        <v>480000</v>
      </c>
    </row>
    <row r="6" spans="1:24" x14ac:dyDescent="0.3">
      <c r="A6">
        <v>4</v>
      </c>
      <c r="B6" s="10" t="s">
        <v>56</v>
      </c>
      <c r="C6" s="10" t="s">
        <v>57</v>
      </c>
      <c r="D6" s="11" t="str">
        <f>VLOOKUP(MID(B6,6,1),'Tabel Acuan'!$A$10:$B$17,2,0)</f>
        <v>Logistics</v>
      </c>
      <c r="E6" t="str">
        <f>VLOOKUP(MID(B6,8,2),'Tabel Acuan'!$A$1:$B$6,2,0)</f>
        <v>Staff</v>
      </c>
      <c r="F6" s="12">
        <v>44369</v>
      </c>
      <c r="G6" s="8" cm="1">
        <f t="array" ref="G6">INDEX('Tabel Acuan'!$F$4:$F$39,
MATCH(1,('Tabel Acuan'!$D$4:$D$39='Data Gaji Pegawai'!D6)*('Tabel Acuan'!$E$4:$E$39='Data Gaji Pegawai'!E6),0))</f>
        <v>5200000</v>
      </c>
      <c r="H6">
        <f>I6/100000</f>
        <v>6</v>
      </c>
      <c r="I6" s="14">
        <v>600000</v>
      </c>
      <c r="J6">
        <f ca="1">INT((TODAY()-F6)/30.417)</f>
        <v>60</v>
      </c>
      <c r="K6" s="13">
        <f t="shared" ca="1" si="0"/>
        <v>0</v>
      </c>
      <c r="L6" s="8">
        <f>G6*3.7%</f>
        <v>192400.00000000003</v>
      </c>
      <c r="M6" s="8">
        <f>G6*2%</f>
        <v>104000</v>
      </c>
      <c r="N6" s="8">
        <f>G6*4%</f>
        <v>208000</v>
      </c>
      <c r="O6" s="8">
        <f>G6*1%</f>
        <v>52000</v>
      </c>
      <c r="P6">
        <v>2</v>
      </c>
      <c r="Q6" s="13">
        <f>P6*200000</f>
        <v>400000</v>
      </c>
      <c r="R6" s="8">
        <v>1250000</v>
      </c>
      <c r="S6" s="9">
        <f>8%*G6</f>
        <v>416000</v>
      </c>
    </row>
    <row r="7" spans="1:24" x14ac:dyDescent="0.3">
      <c r="A7">
        <v>5</v>
      </c>
      <c r="B7" s="10" t="s">
        <v>58</v>
      </c>
      <c r="C7" s="10" t="s">
        <v>59</v>
      </c>
      <c r="D7" s="11" t="str">
        <f>VLOOKUP(MID(B7,6,1),'Tabel Acuan'!$A$10:$B$17,2,0)</f>
        <v>Marketing</v>
      </c>
      <c r="E7" t="str">
        <f>VLOOKUP(MID(B7,8,2),'Tabel Acuan'!$A$1:$B$6,2,0)</f>
        <v>Staff</v>
      </c>
      <c r="F7" s="12">
        <v>44066</v>
      </c>
      <c r="G7" s="8" cm="1">
        <f t="array" ref="G7">INDEX('Tabel Acuan'!$F$4:$F$39,
MATCH(1,('Tabel Acuan'!$D$4:$D$39='Data Gaji Pegawai'!D7)*('Tabel Acuan'!$E$4:$E$39='Data Gaji Pegawai'!E7),0))</f>
        <v>5300000</v>
      </c>
      <c r="H7">
        <f>I7/100000</f>
        <v>34</v>
      </c>
      <c r="I7" s="14">
        <v>3400000</v>
      </c>
      <c r="J7">
        <f ca="1">INT((TODAY()-F7)/30.417)</f>
        <v>70</v>
      </c>
      <c r="K7" s="13">
        <f t="shared" ca="1" si="0"/>
        <v>0</v>
      </c>
      <c r="L7" s="8">
        <f>G7*3.7%</f>
        <v>196100.00000000003</v>
      </c>
      <c r="M7" s="8">
        <f>G7*2%</f>
        <v>106000</v>
      </c>
      <c r="N7" s="8">
        <f>G7*4%</f>
        <v>212000</v>
      </c>
      <c r="O7" s="8">
        <f>G7*1%</f>
        <v>53000</v>
      </c>
      <c r="P7">
        <v>3</v>
      </c>
      <c r="Q7" s="13">
        <f>P7*200000</f>
        <v>600000</v>
      </c>
      <c r="R7" s="8">
        <v>1500000</v>
      </c>
      <c r="S7" s="9">
        <f>8%*G7</f>
        <v>424000</v>
      </c>
    </row>
    <row r="8" spans="1:24" x14ac:dyDescent="0.3">
      <c r="A8">
        <v>6</v>
      </c>
      <c r="B8" s="10" t="s">
        <v>60</v>
      </c>
      <c r="C8" s="10" t="s">
        <v>61</v>
      </c>
      <c r="D8" s="11" t="str">
        <f>VLOOKUP(MID(B8,6,1),'Tabel Acuan'!$A$10:$B$17,2,0)</f>
        <v>Marketing</v>
      </c>
      <c r="E8" t="str">
        <f>VLOOKUP(MID(B8,8,2),'Tabel Acuan'!$A$1:$B$6,2,0)</f>
        <v>Staff</v>
      </c>
      <c r="F8" s="12">
        <v>42555</v>
      </c>
      <c r="G8" s="8" cm="1">
        <f t="array" ref="G8">INDEX('Tabel Acuan'!$F$4:$F$39,
MATCH(1,('Tabel Acuan'!$D$4:$D$39='Data Gaji Pegawai'!D8)*('Tabel Acuan'!$E$4:$E$39='Data Gaji Pegawai'!E8),0))</f>
        <v>5300000</v>
      </c>
      <c r="H8">
        <f>I8/100000</f>
        <v>36</v>
      </c>
      <c r="I8" s="14">
        <v>3600000</v>
      </c>
      <c r="J8">
        <f ca="1">INT((TODAY()-F8)/30.417)</f>
        <v>119</v>
      </c>
      <c r="K8" s="13">
        <f t="shared" ca="1" si="0"/>
        <v>0</v>
      </c>
      <c r="L8" s="8">
        <f>G8*3.7%</f>
        <v>196100.00000000003</v>
      </c>
      <c r="M8" s="8">
        <f>G8*2%</f>
        <v>106000</v>
      </c>
      <c r="N8" s="8">
        <f>G8*4%</f>
        <v>212000</v>
      </c>
      <c r="O8" s="8">
        <f>G8*1%</f>
        <v>53000</v>
      </c>
      <c r="P8">
        <v>6</v>
      </c>
      <c r="Q8" s="13">
        <f>P8*200000</f>
        <v>1200000</v>
      </c>
      <c r="R8" s="8">
        <v>250000</v>
      </c>
      <c r="S8" s="9">
        <f>8%*G8</f>
        <v>424000</v>
      </c>
    </row>
    <row r="9" spans="1:24" x14ac:dyDescent="0.3">
      <c r="A9">
        <v>7</v>
      </c>
      <c r="B9" s="10" t="s">
        <v>62</v>
      </c>
      <c r="C9" s="10" t="s">
        <v>63</v>
      </c>
      <c r="D9" s="11" t="str">
        <f>VLOOKUP(MID(B9,6,1),'Tabel Acuan'!$A$10:$B$17,2,0)</f>
        <v>Finance</v>
      </c>
      <c r="E9" t="str">
        <f>VLOOKUP(MID(B9,8,2),'Tabel Acuan'!$A$1:$B$6,2,0)</f>
        <v>Supervisor</v>
      </c>
      <c r="F9" s="12">
        <v>45709</v>
      </c>
      <c r="G9" s="8" cm="1">
        <f t="array" ref="G9">INDEX('Tabel Acuan'!$F$4:$F$39,
MATCH(1,('Tabel Acuan'!$D$4:$D$39='Data Gaji Pegawai'!D9)*('Tabel Acuan'!$E$4:$E$39='Data Gaji Pegawai'!E9),0))</f>
        <v>8000000</v>
      </c>
      <c r="H9">
        <f>I9/100000</f>
        <v>24</v>
      </c>
      <c r="I9" s="14">
        <v>2400000</v>
      </c>
      <c r="J9">
        <f ca="1">INT((TODAY()-F9)/30.417)</f>
        <v>16</v>
      </c>
      <c r="K9" s="13">
        <f t="shared" ca="1" si="0"/>
        <v>0</v>
      </c>
      <c r="L9" s="8">
        <f>G9*3.7%</f>
        <v>296000.00000000006</v>
      </c>
      <c r="M9" s="8">
        <f>G9*2%</f>
        <v>160000</v>
      </c>
      <c r="N9" s="8">
        <f>G9*4%</f>
        <v>320000</v>
      </c>
      <c r="O9" s="8">
        <f>G9*1%</f>
        <v>80000</v>
      </c>
      <c r="P9">
        <v>8</v>
      </c>
      <c r="Q9" s="13">
        <f>P9*200000</f>
        <v>1600000</v>
      </c>
      <c r="R9" s="8">
        <v>1250000</v>
      </c>
      <c r="S9" s="9">
        <f>8%*G9</f>
        <v>640000</v>
      </c>
    </row>
    <row r="10" spans="1:24" x14ac:dyDescent="0.3">
      <c r="A10">
        <v>8</v>
      </c>
      <c r="B10" s="10" t="s">
        <v>64</v>
      </c>
      <c r="C10" s="10" t="s">
        <v>65</v>
      </c>
      <c r="D10" s="11" t="str">
        <f>VLOOKUP(MID(B10,6,1),'Tabel Acuan'!$A$10:$B$17,2,0)</f>
        <v>Logistics</v>
      </c>
      <c r="E10" t="str">
        <f>VLOOKUP(MID(B10,8,2),'Tabel Acuan'!$A$1:$B$6,2,0)</f>
        <v>Staff</v>
      </c>
      <c r="F10" s="12">
        <v>43095</v>
      </c>
      <c r="G10" s="8" cm="1">
        <f t="array" ref="G10">INDEX('Tabel Acuan'!$F$4:$F$39,
MATCH(1,('Tabel Acuan'!$D$4:$D$39='Data Gaji Pegawai'!D10)*('Tabel Acuan'!$E$4:$E$39='Data Gaji Pegawai'!E10),0))</f>
        <v>5200000</v>
      </c>
      <c r="H10">
        <f>I10/100000</f>
        <v>59</v>
      </c>
      <c r="I10" s="14">
        <v>5900000</v>
      </c>
      <c r="J10">
        <f ca="1">INT((TODAY()-F10)/30.417)</f>
        <v>102</v>
      </c>
      <c r="K10" s="13">
        <f t="shared" ca="1" si="0"/>
        <v>0</v>
      </c>
      <c r="L10" s="8">
        <f>G10*3.7%</f>
        <v>192400.00000000003</v>
      </c>
      <c r="M10" s="8">
        <f>G10*2%</f>
        <v>104000</v>
      </c>
      <c r="N10" s="8">
        <f>G10*4%</f>
        <v>208000</v>
      </c>
      <c r="O10" s="8">
        <f>G10*1%</f>
        <v>52000</v>
      </c>
      <c r="P10">
        <v>2</v>
      </c>
      <c r="Q10" s="13">
        <f>P10*200000</f>
        <v>400000</v>
      </c>
      <c r="R10" s="8">
        <v>500000</v>
      </c>
      <c r="S10" s="9">
        <f>8%*G10</f>
        <v>416000</v>
      </c>
    </row>
    <row r="11" spans="1:24" x14ac:dyDescent="0.3">
      <c r="A11">
        <v>9</v>
      </c>
      <c r="B11" s="10" t="s">
        <v>66</v>
      </c>
      <c r="C11" s="10" t="s">
        <v>67</v>
      </c>
      <c r="D11" s="11" t="str">
        <f>VLOOKUP(MID(B11,6,1),'Tabel Acuan'!$A$10:$B$17,2,0)</f>
        <v>Sales</v>
      </c>
      <c r="E11" t="str">
        <f>VLOOKUP(MID(B11,8,2),'Tabel Acuan'!$A$1:$B$6,2,0)</f>
        <v>Staff</v>
      </c>
      <c r="F11" s="12">
        <v>45065</v>
      </c>
      <c r="G11" s="8" cm="1">
        <f t="array" ref="G11">INDEX('Tabel Acuan'!$F$4:$F$39,
MATCH(1,('Tabel Acuan'!$D$4:$D$39='Data Gaji Pegawai'!D11)*('Tabel Acuan'!$E$4:$E$39='Data Gaji Pegawai'!E11),0))</f>
        <v>5000000</v>
      </c>
      <c r="H11">
        <f>I11/100000</f>
        <v>59</v>
      </c>
      <c r="I11" s="14">
        <v>5900000</v>
      </c>
      <c r="J11">
        <f ca="1">INT((TODAY()-F11)/30.417)</f>
        <v>37</v>
      </c>
      <c r="K11" s="13">
        <f t="shared" ca="1" si="0"/>
        <v>0</v>
      </c>
      <c r="L11" s="8">
        <f>G11*3.7%</f>
        <v>185000.00000000003</v>
      </c>
      <c r="M11" s="8">
        <f>G11*2%</f>
        <v>100000</v>
      </c>
      <c r="N11" s="8">
        <f>G11*4%</f>
        <v>200000</v>
      </c>
      <c r="O11" s="8">
        <f>G11*1%</f>
        <v>50000</v>
      </c>
      <c r="P11">
        <v>7</v>
      </c>
      <c r="Q11" s="13">
        <f>P11*200000</f>
        <v>1400000</v>
      </c>
      <c r="R11" s="8">
        <v>5000000</v>
      </c>
      <c r="S11" s="9">
        <f>8%*G11</f>
        <v>400000</v>
      </c>
    </row>
    <row r="12" spans="1:24" x14ac:dyDescent="0.3">
      <c r="A12">
        <v>10</v>
      </c>
      <c r="B12" s="10" t="s">
        <v>68</v>
      </c>
      <c r="C12" s="10" t="s">
        <v>69</v>
      </c>
      <c r="D12" s="11" t="str">
        <f>VLOOKUP(MID(B12,6,1),'Tabel Acuan'!$A$10:$B$17,2,0)</f>
        <v>Finance</v>
      </c>
      <c r="E12" t="str">
        <f>VLOOKUP(MID(B12,8,2),'Tabel Acuan'!$A$1:$B$6,2,0)</f>
        <v>Supervisor</v>
      </c>
      <c r="F12" s="12">
        <v>42142</v>
      </c>
      <c r="G12" s="8" cm="1">
        <f t="array" ref="G12">INDEX('Tabel Acuan'!$F$4:$F$39,
MATCH(1,('Tabel Acuan'!$D$4:$D$39='Data Gaji Pegawai'!D12)*('Tabel Acuan'!$E$4:$E$39='Data Gaji Pegawai'!E12),0))</f>
        <v>8000000</v>
      </c>
      <c r="H12">
        <f>I12/100000</f>
        <v>4</v>
      </c>
      <c r="I12" s="14">
        <v>400000</v>
      </c>
      <c r="J12">
        <f ca="1">INT((TODAY()-F12)/30.417)</f>
        <v>133</v>
      </c>
      <c r="K12" s="13">
        <f t="shared" ca="1" si="0"/>
        <v>0</v>
      </c>
      <c r="L12" s="8">
        <f>G12*3.7%</f>
        <v>296000.00000000006</v>
      </c>
      <c r="M12" s="8">
        <f>G12*2%</f>
        <v>160000</v>
      </c>
      <c r="N12" s="8">
        <f>G12*4%</f>
        <v>320000</v>
      </c>
      <c r="O12" s="8">
        <f>G12*1%</f>
        <v>80000</v>
      </c>
      <c r="P12">
        <v>6</v>
      </c>
      <c r="Q12" s="13">
        <f>P12*200000</f>
        <v>1200000</v>
      </c>
      <c r="R12" s="8">
        <v>3000000</v>
      </c>
      <c r="S12" s="9">
        <f>8%*G12</f>
        <v>640000</v>
      </c>
    </row>
    <row r="13" spans="1:24" x14ac:dyDescent="0.3">
      <c r="A13">
        <v>11</v>
      </c>
      <c r="B13" s="10" t="s">
        <v>70</v>
      </c>
      <c r="C13" s="10" t="s">
        <v>71</v>
      </c>
      <c r="D13" s="11" t="str">
        <f>VLOOKUP(MID(B13,6,1),'Tabel Acuan'!$A$10:$B$17,2,0)</f>
        <v>Finance</v>
      </c>
      <c r="E13" t="str">
        <f>VLOOKUP(MID(B13,8,2),'Tabel Acuan'!$A$1:$B$6,2,0)</f>
        <v>Senior Staff</v>
      </c>
      <c r="F13" s="12">
        <v>44065</v>
      </c>
      <c r="G13" s="8" cm="1">
        <f t="array" ref="G13">INDEX('Tabel Acuan'!$F$4:$F$39,
MATCH(1,('Tabel Acuan'!$D$4:$D$39='Data Gaji Pegawai'!D13)*('Tabel Acuan'!$E$4:$E$39='Data Gaji Pegawai'!E13),0))</f>
        <v>6600000</v>
      </c>
      <c r="H13">
        <f>I13/100000</f>
        <v>9</v>
      </c>
      <c r="I13" s="14">
        <v>900000</v>
      </c>
      <c r="J13">
        <f ca="1">INT((TODAY()-F13)/30.417)</f>
        <v>70</v>
      </c>
      <c r="K13" s="13">
        <f t="shared" ca="1" si="0"/>
        <v>0</v>
      </c>
      <c r="L13" s="8">
        <f>G13*3.7%</f>
        <v>244200.00000000003</v>
      </c>
      <c r="M13" s="8">
        <f>G13*2%</f>
        <v>132000</v>
      </c>
      <c r="N13" s="8">
        <f>G13*4%</f>
        <v>264000</v>
      </c>
      <c r="O13" s="8">
        <f>G13*1%</f>
        <v>66000</v>
      </c>
      <c r="P13">
        <v>8</v>
      </c>
      <c r="Q13" s="13">
        <f>P13*200000</f>
        <v>1600000</v>
      </c>
      <c r="R13" s="8">
        <v>0</v>
      </c>
      <c r="S13" s="9">
        <f>8%*G13</f>
        <v>528000</v>
      </c>
    </row>
    <row r="14" spans="1:24" x14ac:dyDescent="0.3">
      <c r="A14">
        <v>12</v>
      </c>
      <c r="B14" s="10" t="s">
        <v>72</v>
      </c>
      <c r="C14" s="10" t="s">
        <v>73</v>
      </c>
      <c r="D14" s="11" t="str">
        <f>VLOOKUP(MID(B14,6,1),'Tabel Acuan'!$A$10:$B$17,2,0)</f>
        <v>Marketing</v>
      </c>
      <c r="E14" t="str">
        <f>VLOOKUP(MID(B14,8,2),'Tabel Acuan'!$A$1:$B$6,2,0)</f>
        <v>Staff</v>
      </c>
      <c r="F14" s="12">
        <v>45225</v>
      </c>
      <c r="G14" s="8" cm="1">
        <f t="array" ref="G14">INDEX('Tabel Acuan'!$F$4:$F$39,
MATCH(1,('Tabel Acuan'!$D$4:$D$39='Data Gaji Pegawai'!D14)*('Tabel Acuan'!$E$4:$E$39='Data Gaji Pegawai'!E14),0))</f>
        <v>5300000</v>
      </c>
      <c r="H14">
        <f>I14/100000</f>
        <v>25</v>
      </c>
      <c r="I14" s="14">
        <v>2500000</v>
      </c>
      <c r="J14">
        <f ca="1">INT((TODAY()-F14)/30.417)</f>
        <v>32</v>
      </c>
      <c r="K14" s="13">
        <f t="shared" ca="1" si="0"/>
        <v>0</v>
      </c>
      <c r="L14" s="8">
        <f>G14*3.7%</f>
        <v>196100.00000000003</v>
      </c>
      <c r="M14" s="8">
        <f>G14*2%</f>
        <v>106000</v>
      </c>
      <c r="N14" s="8">
        <f>G14*4%</f>
        <v>212000</v>
      </c>
      <c r="O14" s="8">
        <f>G14*1%</f>
        <v>53000</v>
      </c>
      <c r="P14">
        <v>11</v>
      </c>
      <c r="Q14" s="13">
        <f>P14*200000</f>
        <v>2200000</v>
      </c>
      <c r="R14" s="8">
        <v>0</v>
      </c>
      <c r="S14" s="9">
        <f>8%*G14</f>
        <v>424000</v>
      </c>
    </row>
    <row r="15" spans="1:24" x14ac:dyDescent="0.3">
      <c r="A15">
        <v>13</v>
      </c>
      <c r="B15" s="10" t="s">
        <v>74</v>
      </c>
      <c r="C15" s="10" t="s">
        <v>75</v>
      </c>
      <c r="D15" s="11" t="str">
        <f>VLOOKUP(MID(B15,6,1),'Tabel Acuan'!$A$10:$B$17,2,0)</f>
        <v>Marketing</v>
      </c>
      <c r="E15" t="str">
        <f>VLOOKUP(MID(B15,8,2),'Tabel Acuan'!$A$1:$B$6,2,0)</f>
        <v>Senior Staff</v>
      </c>
      <c r="F15" s="12">
        <v>42792</v>
      </c>
      <c r="G15" s="8" cm="1">
        <f t="array" ref="G15">INDEX('Tabel Acuan'!$F$4:$F$39,
MATCH(1,('Tabel Acuan'!$D$4:$D$39='Data Gaji Pegawai'!D15)*('Tabel Acuan'!$E$4:$E$39='Data Gaji Pegawai'!E15),0))</f>
        <v>6400000</v>
      </c>
      <c r="H15">
        <f>I15/100000</f>
        <v>9</v>
      </c>
      <c r="I15" s="14">
        <v>900000</v>
      </c>
      <c r="J15">
        <f ca="1">INT((TODAY()-F15)/30.417)</f>
        <v>112</v>
      </c>
      <c r="K15" s="13">
        <f t="shared" ca="1" si="0"/>
        <v>0</v>
      </c>
      <c r="L15" s="8">
        <f>G15*3.7%</f>
        <v>236800.00000000003</v>
      </c>
      <c r="M15" s="8">
        <f>G15*2%</f>
        <v>128000</v>
      </c>
      <c r="N15" s="8">
        <f>G15*4%</f>
        <v>256000</v>
      </c>
      <c r="O15" s="8">
        <f>G15*1%</f>
        <v>64000</v>
      </c>
      <c r="P15">
        <v>5</v>
      </c>
      <c r="Q15" s="13">
        <f>P15*200000</f>
        <v>1000000</v>
      </c>
      <c r="R15" s="8">
        <v>1500000</v>
      </c>
      <c r="S15" s="9">
        <f>8%*G15</f>
        <v>512000</v>
      </c>
    </row>
    <row r="16" spans="1:24" x14ac:dyDescent="0.3">
      <c r="A16">
        <v>14</v>
      </c>
      <c r="B16" s="10" t="s">
        <v>76</v>
      </c>
      <c r="C16" s="10" t="s">
        <v>77</v>
      </c>
      <c r="D16" s="11" t="str">
        <f>VLOOKUP(MID(B16,6,1),'Tabel Acuan'!$A$10:$B$17,2,0)</f>
        <v>Human Resources (HR)</v>
      </c>
      <c r="E16" t="str">
        <f>VLOOKUP(MID(B16,8,2),'Tabel Acuan'!$A$1:$B$6,2,0)</f>
        <v>Staff</v>
      </c>
      <c r="F16" s="12">
        <v>45562</v>
      </c>
      <c r="G16" s="8" cm="1">
        <f t="array" ref="G16">INDEX('Tabel Acuan'!$F$4:$F$39,
MATCH(1,('Tabel Acuan'!$D$4:$D$39='Data Gaji Pegawai'!D16)*('Tabel Acuan'!$E$4:$E$39='Data Gaji Pegawai'!E16),0))</f>
        <v>5000000</v>
      </c>
      <c r="H16">
        <f>I16/100000</f>
        <v>16</v>
      </c>
      <c r="I16" s="14">
        <v>1600000</v>
      </c>
      <c r="J16">
        <f ca="1">INT((TODAY()-F16)/30.417)</f>
        <v>21</v>
      </c>
      <c r="K16" s="13">
        <f t="shared" ca="1" si="0"/>
        <v>0</v>
      </c>
      <c r="L16" s="8">
        <f>G16*3.7%</f>
        <v>185000.00000000003</v>
      </c>
      <c r="M16" s="8">
        <f>G16*2%</f>
        <v>100000</v>
      </c>
      <c r="N16" s="8">
        <f>G16*4%</f>
        <v>200000</v>
      </c>
      <c r="O16" s="8">
        <f>G16*1%</f>
        <v>50000</v>
      </c>
      <c r="P16">
        <v>0</v>
      </c>
      <c r="Q16" s="13">
        <f>P16*200000</f>
        <v>0</v>
      </c>
      <c r="R16" s="8">
        <v>300000</v>
      </c>
      <c r="S16" s="9">
        <f>8%*G16</f>
        <v>400000</v>
      </c>
    </row>
    <row r="17" spans="1:19" x14ac:dyDescent="0.3">
      <c r="A17">
        <v>15</v>
      </c>
      <c r="B17" s="10" t="s">
        <v>78</v>
      </c>
      <c r="C17" s="10" t="s">
        <v>79</v>
      </c>
      <c r="D17" s="11" t="str">
        <f>VLOOKUP(MID(B17,6,1),'Tabel Acuan'!$A$10:$B$17,2,0)</f>
        <v>Marketing</v>
      </c>
      <c r="E17" t="str">
        <f>VLOOKUP(MID(B17,8,2),'Tabel Acuan'!$A$1:$B$6,2,0)</f>
        <v>Supervisor</v>
      </c>
      <c r="F17" s="12">
        <v>45832</v>
      </c>
      <c r="G17" s="8" cm="1">
        <f t="array" ref="G17">INDEX('Tabel Acuan'!$F$4:$F$39,
MATCH(1,('Tabel Acuan'!$D$4:$D$39='Data Gaji Pegawai'!D17)*('Tabel Acuan'!$E$4:$E$39='Data Gaji Pegawai'!E17),0))</f>
        <v>7800000</v>
      </c>
      <c r="H17">
        <f>I17/100000</f>
        <v>7</v>
      </c>
      <c r="I17" s="14">
        <v>700000</v>
      </c>
      <c r="J17">
        <f ca="1">INT((TODAY()-F17)/30.417)</f>
        <v>12</v>
      </c>
      <c r="K17" s="13">
        <f t="shared" ca="1" si="0"/>
        <v>0</v>
      </c>
      <c r="L17" s="8">
        <f>G17*3.7%</f>
        <v>288600.00000000006</v>
      </c>
      <c r="M17" s="8">
        <f>G17*2%</f>
        <v>156000</v>
      </c>
      <c r="N17" s="8">
        <f>G17*4%</f>
        <v>312000</v>
      </c>
      <c r="O17" s="8">
        <f>G17*1%</f>
        <v>78000</v>
      </c>
      <c r="P17">
        <v>9</v>
      </c>
      <c r="Q17" s="13">
        <f>P17*200000</f>
        <v>1800000</v>
      </c>
      <c r="R17" s="8">
        <v>2000000</v>
      </c>
      <c r="S17" s="9">
        <f>8%*G17</f>
        <v>624000</v>
      </c>
    </row>
    <row r="18" spans="1:19" x14ac:dyDescent="0.3">
      <c r="A18">
        <v>16</v>
      </c>
      <c r="B18" s="10" t="s">
        <v>80</v>
      </c>
      <c r="C18" s="10" t="s">
        <v>81</v>
      </c>
      <c r="D18" s="11" t="str">
        <f>VLOOKUP(MID(B18,6,1),'Tabel Acuan'!$A$10:$B$17,2,0)</f>
        <v>Sales</v>
      </c>
      <c r="E18" t="str">
        <f>VLOOKUP(MID(B18,8,2),'Tabel Acuan'!$A$1:$B$6,2,0)</f>
        <v>Assistant Manager</v>
      </c>
      <c r="F18" s="12">
        <v>42096</v>
      </c>
      <c r="G18" s="8" cm="1">
        <f t="array" ref="G18">INDEX('Tabel Acuan'!$F$4:$F$39,
MATCH(1,('Tabel Acuan'!$D$4:$D$39='Data Gaji Pegawai'!D18)*('Tabel Acuan'!$E$4:$E$39='Data Gaji Pegawai'!E18),0))</f>
        <v>9500000</v>
      </c>
      <c r="H18">
        <f>I18/100000</f>
        <v>32</v>
      </c>
      <c r="I18" s="14">
        <v>3200000</v>
      </c>
      <c r="J18">
        <f ca="1">INT((TODAY()-F18)/30.417)</f>
        <v>135</v>
      </c>
      <c r="K18" s="13">
        <f t="shared" ca="1" si="0"/>
        <v>0</v>
      </c>
      <c r="L18" s="8">
        <f>G18*3.7%</f>
        <v>351500.00000000006</v>
      </c>
      <c r="M18" s="8">
        <f>G18*2%</f>
        <v>190000</v>
      </c>
      <c r="N18" s="8">
        <f>G18*4%</f>
        <v>380000</v>
      </c>
      <c r="O18" s="8">
        <f>G18*1%</f>
        <v>95000</v>
      </c>
      <c r="P18">
        <v>3</v>
      </c>
      <c r="Q18" s="13">
        <f>P18*200000</f>
        <v>600000</v>
      </c>
      <c r="R18" s="8">
        <v>1000000</v>
      </c>
      <c r="S18" s="9">
        <f>8%*G18</f>
        <v>760000</v>
      </c>
    </row>
    <row r="19" spans="1:19" x14ac:dyDescent="0.3">
      <c r="A19">
        <v>17</v>
      </c>
      <c r="B19" s="10" t="s">
        <v>82</v>
      </c>
      <c r="C19" s="10" t="s">
        <v>83</v>
      </c>
      <c r="D19" s="11" t="str">
        <f>VLOOKUP(MID(B19,6,1),'Tabel Acuan'!$A$10:$B$17,2,0)</f>
        <v>Marketing</v>
      </c>
      <c r="E19" t="str">
        <f>VLOOKUP(MID(B19,8,2),'Tabel Acuan'!$A$1:$B$6,2,0)</f>
        <v>Senior Staff</v>
      </c>
      <c r="F19" s="12">
        <v>45740</v>
      </c>
      <c r="G19" s="8" cm="1">
        <f t="array" ref="G19">INDEX('Tabel Acuan'!$F$4:$F$39,
MATCH(1,('Tabel Acuan'!$D$4:$D$39='Data Gaji Pegawai'!D19)*('Tabel Acuan'!$E$4:$E$39='Data Gaji Pegawai'!E19),0))</f>
        <v>6400000</v>
      </c>
      <c r="H19">
        <f>I19/100000</f>
        <v>34</v>
      </c>
      <c r="I19" s="14">
        <v>3400000</v>
      </c>
      <c r="J19">
        <f ca="1">INT((TODAY()-F19)/30.417)</f>
        <v>15</v>
      </c>
      <c r="K19" s="13">
        <f t="shared" ca="1" si="0"/>
        <v>0</v>
      </c>
      <c r="L19" s="8">
        <f>G19*3.7%</f>
        <v>236800.00000000003</v>
      </c>
      <c r="M19" s="8">
        <f>G19*2%</f>
        <v>128000</v>
      </c>
      <c r="N19" s="8">
        <f>G19*4%</f>
        <v>256000</v>
      </c>
      <c r="O19" s="8">
        <f>G19*1%</f>
        <v>64000</v>
      </c>
      <c r="P19">
        <v>0</v>
      </c>
      <c r="Q19" s="13">
        <f>P19*200000</f>
        <v>0</v>
      </c>
      <c r="R19" s="8">
        <v>2000000</v>
      </c>
      <c r="S19" s="9">
        <f>8%*G19</f>
        <v>512000</v>
      </c>
    </row>
    <row r="20" spans="1:19" x14ac:dyDescent="0.3">
      <c r="A20">
        <v>18</v>
      </c>
      <c r="B20" s="10" t="s">
        <v>84</v>
      </c>
      <c r="C20" s="10" t="s">
        <v>85</v>
      </c>
      <c r="D20" s="11" t="str">
        <f>VLOOKUP(MID(B20,6,1),'Tabel Acuan'!$A$10:$B$17,2,0)</f>
        <v>Human Resources (HR)</v>
      </c>
      <c r="E20" t="str">
        <f>VLOOKUP(MID(B20,8,2),'Tabel Acuan'!$A$1:$B$6,2,0)</f>
        <v>Assistant Manager</v>
      </c>
      <c r="F20" s="12">
        <v>42034</v>
      </c>
      <c r="G20" s="8" cm="1">
        <f t="array" ref="G20">INDEX('Tabel Acuan'!$F$4:$F$39,
MATCH(1,('Tabel Acuan'!$D$4:$D$39='Data Gaji Pegawai'!D20)*('Tabel Acuan'!$E$4:$E$39='Data Gaji Pegawai'!E20),0))</f>
        <v>9000000</v>
      </c>
      <c r="H20">
        <f>I20/100000</f>
        <v>15</v>
      </c>
      <c r="I20" s="14">
        <v>1500000</v>
      </c>
      <c r="J20">
        <f ca="1">INT((TODAY()-F20)/30.417)</f>
        <v>137</v>
      </c>
      <c r="K20" s="13">
        <f t="shared" ca="1" si="0"/>
        <v>0</v>
      </c>
      <c r="L20" s="8">
        <f>G20*3.7%</f>
        <v>333000.00000000006</v>
      </c>
      <c r="M20" s="8">
        <f>G20*2%</f>
        <v>180000</v>
      </c>
      <c r="N20" s="8">
        <f>G20*4%</f>
        <v>360000</v>
      </c>
      <c r="O20" s="8">
        <f>G20*1%</f>
        <v>90000</v>
      </c>
      <c r="P20">
        <v>2</v>
      </c>
      <c r="Q20" s="13">
        <f>P20*200000</f>
        <v>400000</v>
      </c>
      <c r="R20" s="8">
        <v>0</v>
      </c>
      <c r="S20" s="9">
        <f>8%*G20</f>
        <v>720000</v>
      </c>
    </row>
    <row r="21" spans="1:19" x14ac:dyDescent="0.3">
      <c r="A21">
        <v>19</v>
      </c>
      <c r="B21" s="10" t="s">
        <v>86</v>
      </c>
      <c r="C21" s="10" t="s">
        <v>87</v>
      </c>
      <c r="D21" s="11" t="str">
        <f>VLOOKUP(MID(B21,6,1),'Tabel Acuan'!$A$10:$B$17,2,0)</f>
        <v>Operations</v>
      </c>
      <c r="E21" t="str">
        <f>VLOOKUP(MID(B21,8,2),'Tabel Acuan'!$A$1:$B$6,2,0)</f>
        <v>Staff</v>
      </c>
      <c r="F21" s="12">
        <v>44626</v>
      </c>
      <c r="G21" s="8" cm="1">
        <f t="array" ref="G21">INDEX('Tabel Acuan'!$F$4:$F$39,
MATCH(1,('Tabel Acuan'!$D$4:$D$39='Data Gaji Pegawai'!D21)*('Tabel Acuan'!$E$4:$E$39='Data Gaji Pegawai'!E21),0))</f>
        <v>5200000</v>
      </c>
      <c r="H21">
        <f>I21/100000</f>
        <v>8</v>
      </c>
      <c r="I21" s="14">
        <v>800000</v>
      </c>
      <c r="J21">
        <f ca="1">INT((TODAY()-F21)/30.417)</f>
        <v>51</v>
      </c>
      <c r="K21" s="13">
        <f t="shared" ca="1" si="0"/>
        <v>0</v>
      </c>
      <c r="L21" s="8">
        <f>G21*3.7%</f>
        <v>192400.00000000003</v>
      </c>
      <c r="M21" s="8">
        <f>G21*2%</f>
        <v>104000</v>
      </c>
      <c r="N21" s="8">
        <f>G21*4%</f>
        <v>208000</v>
      </c>
      <c r="O21" s="8">
        <f>G21*1%</f>
        <v>52000</v>
      </c>
      <c r="P21">
        <v>15</v>
      </c>
      <c r="Q21" s="13">
        <f>P21*200000</f>
        <v>3000000</v>
      </c>
      <c r="R21" s="8">
        <v>500000</v>
      </c>
      <c r="S21" s="9">
        <f>8%*G21</f>
        <v>416000</v>
      </c>
    </row>
    <row r="22" spans="1:19" x14ac:dyDescent="0.3">
      <c r="A22">
        <v>20</v>
      </c>
      <c r="B22" s="10" t="s">
        <v>88</v>
      </c>
      <c r="C22" s="10" t="s">
        <v>89</v>
      </c>
      <c r="D22" s="11" t="str">
        <f>VLOOKUP(MID(B22,6,1),'Tabel Acuan'!$A$10:$B$17,2,0)</f>
        <v>Marketing</v>
      </c>
      <c r="E22" t="str">
        <f>VLOOKUP(MID(B22,8,2),'Tabel Acuan'!$A$1:$B$6,2,0)</f>
        <v>Assistant Manager</v>
      </c>
      <c r="F22" s="12">
        <v>43742</v>
      </c>
      <c r="G22" s="8" cm="1">
        <f t="array" ref="G22">INDEX('Tabel Acuan'!$F$4:$F$39,
MATCH(1,('Tabel Acuan'!$D$4:$D$39='Data Gaji Pegawai'!D22)*('Tabel Acuan'!$E$4:$E$39='Data Gaji Pegawai'!E22),0))</f>
        <v>9800000</v>
      </c>
      <c r="H22">
        <f>I22/100000</f>
        <v>48</v>
      </c>
      <c r="I22" s="14">
        <v>4800000</v>
      </c>
      <c r="J22">
        <f ca="1">INT((TODAY()-F22)/30.417)</f>
        <v>80</v>
      </c>
      <c r="K22" s="13">
        <f t="shared" ca="1" si="0"/>
        <v>0</v>
      </c>
      <c r="L22" s="8">
        <f>G22*3.7%</f>
        <v>362600.00000000006</v>
      </c>
      <c r="M22" s="8">
        <f>G22*2%</f>
        <v>196000</v>
      </c>
      <c r="N22" s="8">
        <f>G22*4%</f>
        <v>392000</v>
      </c>
      <c r="O22" s="8">
        <f>G22*1%</f>
        <v>98000</v>
      </c>
      <c r="P22">
        <v>6</v>
      </c>
      <c r="Q22" s="13">
        <f>P22*200000</f>
        <v>1200000</v>
      </c>
      <c r="R22" s="8">
        <v>1500000</v>
      </c>
      <c r="S22" s="9">
        <f>8%*G22</f>
        <v>784000</v>
      </c>
    </row>
    <row r="23" spans="1:19" x14ac:dyDescent="0.3">
      <c r="A23">
        <v>21</v>
      </c>
      <c r="B23" s="10" t="s">
        <v>90</v>
      </c>
      <c r="C23" s="10" t="s">
        <v>91</v>
      </c>
      <c r="D23" s="11" t="str">
        <f>VLOOKUP(MID(B23,6,1),'Tabel Acuan'!$A$10:$B$17,2,0)</f>
        <v>Sales</v>
      </c>
      <c r="E23" t="str">
        <f>VLOOKUP(MID(B23,8,2),'Tabel Acuan'!$A$1:$B$6,2,0)</f>
        <v>Staff</v>
      </c>
      <c r="F23" s="12">
        <v>45719</v>
      </c>
      <c r="G23" s="8" cm="1">
        <f t="array" ref="G23">INDEX('Tabel Acuan'!$F$4:$F$39,
MATCH(1,('Tabel Acuan'!$D$4:$D$39='Data Gaji Pegawai'!D23)*('Tabel Acuan'!$E$4:$E$39='Data Gaji Pegawai'!E23),0))</f>
        <v>5000000</v>
      </c>
      <c r="H23">
        <f>I23/100000</f>
        <v>15</v>
      </c>
      <c r="I23" s="14">
        <v>1500000</v>
      </c>
      <c r="J23">
        <f ca="1">INT((TODAY()-F23)/30.417)</f>
        <v>15</v>
      </c>
      <c r="K23" s="13">
        <f t="shared" ca="1" si="0"/>
        <v>0</v>
      </c>
      <c r="L23" s="8">
        <f>G23*3.7%</f>
        <v>185000.00000000003</v>
      </c>
      <c r="M23" s="8">
        <f>G23*2%</f>
        <v>100000</v>
      </c>
      <c r="N23" s="8">
        <f>G23*4%</f>
        <v>200000</v>
      </c>
      <c r="O23" s="8">
        <f>G23*1%</f>
        <v>50000</v>
      </c>
      <c r="P23">
        <v>7</v>
      </c>
      <c r="Q23" s="13">
        <f>P23*200000</f>
        <v>1400000</v>
      </c>
      <c r="R23" s="8">
        <v>0</v>
      </c>
      <c r="S23" s="9">
        <f>8%*G23</f>
        <v>400000</v>
      </c>
    </row>
    <row r="24" spans="1:19" x14ac:dyDescent="0.3">
      <c r="A24">
        <v>22</v>
      </c>
      <c r="B24" s="10" t="s">
        <v>92</v>
      </c>
      <c r="C24" s="10" t="s">
        <v>93</v>
      </c>
      <c r="D24" s="11" t="str">
        <f>VLOOKUP(MID(B24,6,1),'Tabel Acuan'!$A$10:$B$17,2,0)</f>
        <v>Marketing</v>
      </c>
      <c r="E24" t="str">
        <f>VLOOKUP(MID(B24,8,2),'Tabel Acuan'!$A$1:$B$6,2,0)</f>
        <v>Senior Staff</v>
      </c>
      <c r="F24" s="12">
        <v>42008</v>
      </c>
      <c r="G24" s="8" cm="1">
        <f t="array" ref="G24">INDEX('Tabel Acuan'!$F$4:$F$39,
MATCH(1,('Tabel Acuan'!$D$4:$D$39='Data Gaji Pegawai'!D24)*('Tabel Acuan'!$E$4:$E$39='Data Gaji Pegawai'!E24),0))</f>
        <v>6400000</v>
      </c>
      <c r="H24">
        <f>I24/100000</f>
        <v>4</v>
      </c>
      <c r="I24" s="14">
        <v>400000</v>
      </c>
      <c r="J24">
        <f ca="1">INT((TODAY()-F24)/30.417)</f>
        <v>137</v>
      </c>
      <c r="K24" s="13">
        <f t="shared" ca="1" si="0"/>
        <v>0</v>
      </c>
      <c r="L24" s="8">
        <f>G24*3.7%</f>
        <v>236800.00000000003</v>
      </c>
      <c r="M24" s="8">
        <f>G24*2%</f>
        <v>128000</v>
      </c>
      <c r="N24" s="8">
        <f>G24*4%</f>
        <v>256000</v>
      </c>
      <c r="O24" s="8">
        <f>G24*1%</f>
        <v>64000</v>
      </c>
      <c r="P24">
        <v>1</v>
      </c>
      <c r="Q24" s="13">
        <f>P24*200000</f>
        <v>200000</v>
      </c>
      <c r="R24" s="8">
        <v>0</v>
      </c>
      <c r="S24" s="9">
        <f>8%*G24</f>
        <v>512000</v>
      </c>
    </row>
    <row r="25" spans="1:19" x14ac:dyDescent="0.3">
      <c r="A25">
        <v>23</v>
      </c>
      <c r="B25" s="10" t="s">
        <v>94</v>
      </c>
      <c r="C25" s="10" t="s">
        <v>95</v>
      </c>
      <c r="D25" s="11" t="str">
        <f>VLOOKUP(MID(B25,6,1),'Tabel Acuan'!$A$10:$B$17,2,0)</f>
        <v>Operations</v>
      </c>
      <c r="E25" t="str">
        <f>VLOOKUP(MID(B25,8,2),'Tabel Acuan'!$A$1:$B$6,2,0)</f>
        <v>Staff</v>
      </c>
      <c r="F25" s="12">
        <v>42147</v>
      </c>
      <c r="G25" s="8" cm="1">
        <f t="array" ref="G25">INDEX('Tabel Acuan'!$F$4:$F$39,
MATCH(1,('Tabel Acuan'!$D$4:$D$39='Data Gaji Pegawai'!D25)*('Tabel Acuan'!$E$4:$E$39='Data Gaji Pegawai'!E25),0))</f>
        <v>5200000</v>
      </c>
      <c r="H25">
        <f>I25/100000</f>
        <v>42</v>
      </c>
      <c r="I25" s="14">
        <v>4200000</v>
      </c>
      <c r="J25">
        <f ca="1">INT((TODAY()-F25)/30.417)</f>
        <v>133</v>
      </c>
      <c r="K25" s="13">
        <f t="shared" ca="1" si="0"/>
        <v>0</v>
      </c>
      <c r="L25" s="8">
        <f>G25*3.7%</f>
        <v>192400.00000000003</v>
      </c>
      <c r="M25" s="8">
        <f>G25*2%</f>
        <v>104000</v>
      </c>
      <c r="N25" s="8">
        <f>G25*4%</f>
        <v>208000</v>
      </c>
      <c r="O25" s="8">
        <f>G25*1%</f>
        <v>52000</v>
      </c>
      <c r="P25">
        <v>15</v>
      </c>
      <c r="Q25" s="13">
        <f>P25*200000</f>
        <v>3000000</v>
      </c>
      <c r="R25" s="8">
        <v>0</v>
      </c>
      <c r="S25" s="9">
        <f>8%*G25</f>
        <v>416000</v>
      </c>
    </row>
    <row r="26" spans="1:19" x14ac:dyDescent="0.3">
      <c r="A26">
        <v>24</v>
      </c>
      <c r="B26" s="10" t="s">
        <v>96</v>
      </c>
      <c r="C26" s="10" t="s">
        <v>97</v>
      </c>
      <c r="D26" s="11" t="str">
        <f>VLOOKUP(MID(B26,6,1),'Tabel Acuan'!$A$10:$B$17,2,0)</f>
        <v>Sales</v>
      </c>
      <c r="E26" t="str">
        <f>VLOOKUP(MID(B26,8,2),'Tabel Acuan'!$A$1:$B$6,2,0)</f>
        <v>Assistant Manager</v>
      </c>
      <c r="F26" s="12">
        <v>42978</v>
      </c>
      <c r="G26" s="8" cm="1">
        <f t="array" ref="G26">INDEX('Tabel Acuan'!$F$4:$F$39,
MATCH(1,('Tabel Acuan'!$D$4:$D$39='Data Gaji Pegawai'!D26)*('Tabel Acuan'!$E$4:$E$39='Data Gaji Pegawai'!E26),0))</f>
        <v>9500000</v>
      </c>
      <c r="H26">
        <f>I26/100000</f>
        <v>15</v>
      </c>
      <c r="I26" s="14">
        <v>1500000</v>
      </c>
      <c r="J26">
        <f ca="1">INT((TODAY()-F26)/30.417)</f>
        <v>106</v>
      </c>
      <c r="K26" s="13">
        <f t="shared" ca="1" si="0"/>
        <v>0</v>
      </c>
      <c r="L26" s="8">
        <f>G26*3.7%</f>
        <v>351500.00000000006</v>
      </c>
      <c r="M26" s="8">
        <f>G26*2%</f>
        <v>190000</v>
      </c>
      <c r="N26" s="8">
        <f>G26*4%</f>
        <v>380000</v>
      </c>
      <c r="O26" s="8">
        <f>G26*1%</f>
        <v>95000</v>
      </c>
      <c r="P26">
        <v>15</v>
      </c>
      <c r="Q26" s="13">
        <f>P26*200000</f>
        <v>3000000</v>
      </c>
      <c r="R26" s="8">
        <v>750000</v>
      </c>
      <c r="S26" s="9">
        <f>8%*G26</f>
        <v>760000</v>
      </c>
    </row>
    <row r="27" spans="1:19" x14ac:dyDescent="0.3">
      <c r="A27">
        <v>25</v>
      </c>
      <c r="B27" s="10" t="s">
        <v>98</v>
      </c>
      <c r="C27" s="10" t="s">
        <v>99</v>
      </c>
      <c r="D27" s="11" t="str">
        <f>VLOOKUP(MID(B27,6,1),'Tabel Acuan'!$A$10:$B$17,2,0)</f>
        <v>Human Resources (HR)</v>
      </c>
      <c r="E27" t="str">
        <f>VLOOKUP(MID(B27,8,2),'Tabel Acuan'!$A$1:$B$6,2,0)</f>
        <v>Senior Staff</v>
      </c>
      <c r="F27" s="12">
        <v>42580</v>
      </c>
      <c r="G27" s="8" cm="1">
        <f t="array" ref="G27">INDEX('Tabel Acuan'!$F$4:$F$39,
MATCH(1,('Tabel Acuan'!$D$4:$D$39='Data Gaji Pegawai'!D27)*('Tabel Acuan'!$E$4:$E$39='Data Gaji Pegawai'!E27),0))</f>
        <v>6000000</v>
      </c>
      <c r="H27">
        <f>I27/100000</f>
        <v>29</v>
      </c>
      <c r="I27" s="14">
        <v>2900000</v>
      </c>
      <c r="J27">
        <f ca="1">INT((TODAY()-F27)/30.417)</f>
        <v>119</v>
      </c>
      <c r="K27" s="13">
        <f t="shared" ca="1" si="0"/>
        <v>0</v>
      </c>
      <c r="L27" s="8">
        <f>G27*3.7%</f>
        <v>222000.00000000003</v>
      </c>
      <c r="M27" s="8">
        <f>G27*2%</f>
        <v>120000</v>
      </c>
      <c r="N27" s="8">
        <f>G27*4%</f>
        <v>240000</v>
      </c>
      <c r="O27" s="8">
        <f>G27*1%</f>
        <v>60000</v>
      </c>
      <c r="P27">
        <v>1</v>
      </c>
      <c r="Q27" s="13">
        <f>P27*200000</f>
        <v>200000</v>
      </c>
      <c r="R27" s="8">
        <v>3500000</v>
      </c>
      <c r="S27" s="9">
        <f>8%*G27</f>
        <v>480000</v>
      </c>
    </row>
    <row r="28" spans="1:19" x14ac:dyDescent="0.3">
      <c r="A28">
        <v>26</v>
      </c>
      <c r="B28" s="10" t="s">
        <v>100</v>
      </c>
      <c r="C28" s="10" t="s">
        <v>101</v>
      </c>
      <c r="D28" s="11" t="str">
        <f>VLOOKUP(MID(B28,6,1),'Tabel Acuan'!$A$10:$B$17,2,0)</f>
        <v>Human Resources (HR)</v>
      </c>
      <c r="E28" t="str">
        <f>VLOOKUP(MID(B28,8,2),'Tabel Acuan'!$A$1:$B$6,2,0)</f>
        <v>Senior Staff</v>
      </c>
      <c r="F28" s="12">
        <v>42497</v>
      </c>
      <c r="G28" s="8" cm="1">
        <f t="array" ref="G28">INDEX('Tabel Acuan'!$F$4:$F$39,
MATCH(1,('Tabel Acuan'!$D$4:$D$39='Data Gaji Pegawai'!D28)*('Tabel Acuan'!$E$4:$E$39='Data Gaji Pegawai'!E28),0))</f>
        <v>6000000</v>
      </c>
      <c r="H28">
        <f>I28/100000</f>
        <v>12</v>
      </c>
      <c r="I28" s="14">
        <v>1200000</v>
      </c>
      <c r="J28">
        <f ca="1">INT((TODAY()-F28)/30.417)</f>
        <v>121</v>
      </c>
      <c r="K28" s="13">
        <f t="shared" ca="1" si="0"/>
        <v>0</v>
      </c>
      <c r="L28" s="8">
        <f>G28*3.7%</f>
        <v>222000.00000000003</v>
      </c>
      <c r="M28" s="8">
        <f>G28*2%</f>
        <v>120000</v>
      </c>
      <c r="N28" s="8">
        <f>G28*4%</f>
        <v>240000</v>
      </c>
      <c r="O28" s="8">
        <f>G28*1%</f>
        <v>60000</v>
      </c>
      <c r="P28">
        <v>6</v>
      </c>
      <c r="Q28" s="13">
        <f>P28*200000</f>
        <v>1200000</v>
      </c>
      <c r="R28" s="8">
        <v>500000</v>
      </c>
      <c r="S28" s="9">
        <f>8%*G28</f>
        <v>480000</v>
      </c>
    </row>
    <row r="29" spans="1:19" x14ac:dyDescent="0.3">
      <c r="A29">
        <v>27</v>
      </c>
      <c r="B29" s="10" t="s">
        <v>102</v>
      </c>
      <c r="C29" s="10" t="s">
        <v>103</v>
      </c>
      <c r="D29" s="11" t="str">
        <f>VLOOKUP(MID(B29,6,1),'Tabel Acuan'!$A$10:$B$17,2,0)</f>
        <v>Finance</v>
      </c>
      <c r="E29" t="str">
        <f>VLOOKUP(MID(B29,8,2),'Tabel Acuan'!$A$1:$B$6,2,0)</f>
        <v>Staff</v>
      </c>
      <c r="F29" s="12">
        <v>44423</v>
      </c>
      <c r="G29" s="8" cm="1">
        <f t="array" ref="G29">INDEX('Tabel Acuan'!$F$4:$F$39,
MATCH(1,('Tabel Acuan'!$D$4:$D$39='Data Gaji Pegawai'!D29)*('Tabel Acuan'!$E$4:$E$39='Data Gaji Pegawai'!E29),0))</f>
        <v>5500000</v>
      </c>
      <c r="H29">
        <f>I29/100000</f>
        <v>51</v>
      </c>
      <c r="I29" s="14">
        <v>5100000</v>
      </c>
      <c r="J29">
        <f ca="1">INT((TODAY()-F29)/30.417)</f>
        <v>58</v>
      </c>
      <c r="K29" s="13">
        <f t="shared" ca="1" si="0"/>
        <v>0</v>
      </c>
      <c r="L29" s="8">
        <f>G29*3.7%</f>
        <v>203500.00000000003</v>
      </c>
      <c r="M29" s="8">
        <f>G29*2%</f>
        <v>110000</v>
      </c>
      <c r="N29" s="8">
        <f>G29*4%</f>
        <v>220000</v>
      </c>
      <c r="O29" s="8">
        <f>G29*1%</f>
        <v>55000</v>
      </c>
      <c r="P29">
        <v>3</v>
      </c>
      <c r="Q29" s="13">
        <f>P29*200000</f>
        <v>600000</v>
      </c>
      <c r="R29" s="8">
        <v>0</v>
      </c>
      <c r="S29" s="9">
        <f>8%*G29</f>
        <v>440000</v>
      </c>
    </row>
    <row r="30" spans="1:19" x14ac:dyDescent="0.3">
      <c r="A30">
        <v>28</v>
      </c>
      <c r="B30" s="10" t="s">
        <v>104</v>
      </c>
      <c r="C30" s="10" t="s">
        <v>105</v>
      </c>
      <c r="D30" s="11" t="str">
        <f>VLOOKUP(MID(B30,6,1),'Tabel Acuan'!$A$10:$B$17,2,0)</f>
        <v>Operations</v>
      </c>
      <c r="E30" t="str">
        <f>VLOOKUP(MID(B30,8,2),'Tabel Acuan'!$A$1:$B$6,2,0)</f>
        <v>Staff</v>
      </c>
      <c r="F30" s="12">
        <v>45048</v>
      </c>
      <c r="G30" s="8" cm="1">
        <f t="array" ref="G30">INDEX('Tabel Acuan'!$F$4:$F$39,
MATCH(1,('Tabel Acuan'!$D$4:$D$39='Data Gaji Pegawai'!D30)*('Tabel Acuan'!$E$4:$E$39='Data Gaji Pegawai'!E30),0))</f>
        <v>5200000</v>
      </c>
      <c r="H30">
        <f>I30/100000</f>
        <v>10</v>
      </c>
      <c r="I30" s="14">
        <v>1000000</v>
      </c>
      <c r="J30">
        <f ca="1">INT((TODAY()-F30)/30.417)</f>
        <v>38</v>
      </c>
      <c r="K30" s="13">
        <f t="shared" ca="1" si="0"/>
        <v>0</v>
      </c>
      <c r="L30" s="8">
        <f>G30*3.7%</f>
        <v>192400.00000000003</v>
      </c>
      <c r="M30" s="8">
        <f>G30*2%</f>
        <v>104000</v>
      </c>
      <c r="N30" s="8">
        <f>G30*4%</f>
        <v>208000</v>
      </c>
      <c r="O30" s="8">
        <f>G30*1%</f>
        <v>52000</v>
      </c>
      <c r="P30">
        <v>13</v>
      </c>
      <c r="Q30" s="13">
        <f>P30*200000</f>
        <v>2600000</v>
      </c>
      <c r="R30" s="8">
        <v>750000</v>
      </c>
      <c r="S30" s="9">
        <f>8%*G30</f>
        <v>416000</v>
      </c>
    </row>
    <row r="31" spans="1:19" x14ac:dyDescent="0.3">
      <c r="A31">
        <v>29</v>
      </c>
      <c r="B31" s="10" t="s">
        <v>49</v>
      </c>
      <c r="C31" s="10" t="s">
        <v>106</v>
      </c>
      <c r="D31" s="11" t="str">
        <f>VLOOKUP(MID(B31,6,1),'Tabel Acuan'!$A$10:$B$17,2,0)</f>
        <v>Human Resources (HR)</v>
      </c>
      <c r="E31" t="str">
        <f>VLOOKUP(MID(B31,8,2),'Tabel Acuan'!$A$1:$B$6,2,0)</f>
        <v>Staff</v>
      </c>
      <c r="F31" s="12">
        <v>44332</v>
      </c>
      <c r="G31" s="8" cm="1">
        <f t="array" ref="G31">INDEX('Tabel Acuan'!$F$4:$F$39,
MATCH(1,('Tabel Acuan'!$D$4:$D$39='Data Gaji Pegawai'!D31)*('Tabel Acuan'!$E$4:$E$39='Data Gaji Pegawai'!E31),0))</f>
        <v>5000000</v>
      </c>
      <c r="H31">
        <f>I31/100000</f>
        <v>59</v>
      </c>
      <c r="I31" s="14">
        <v>5900000</v>
      </c>
      <c r="J31">
        <f ca="1">INT((TODAY()-F31)/30.417)</f>
        <v>61</v>
      </c>
      <c r="K31" s="13">
        <f t="shared" ca="1" si="0"/>
        <v>0</v>
      </c>
      <c r="L31" s="8">
        <f>G31*3.7%</f>
        <v>185000.00000000003</v>
      </c>
      <c r="M31" s="8">
        <f>G31*2%</f>
        <v>100000</v>
      </c>
      <c r="N31" s="8">
        <f>G31*4%</f>
        <v>200000</v>
      </c>
      <c r="O31" s="8">
        <f>G31*1%</f>
        <v>50000</v>
      </c>
      <c r="P31">
        <v>14</v>
      </c>
      <c r="Q31" s="13">
        <f>P31*200000</f>
        <v>2800000</v>
      </c>
      <c r="R31" s="8">
        <v>0</v>
      </c>
      <c r="S31" s="9">
        <f>8%*G31</f>
        <v>400000</v>
      </c>
    </row>
    <row r="32" spans="1:19" x14ac:dyDescent="0.3">
      <c r="A32">
        <v>30</v>
      </c>
      <c r="B32" s="10" t="s">
        <v>107</v>
      </c>
      <c r="C32" s="10" t="s">
        <v>108</v>
      </c>
      <c r="D32" s="11" t="str">
        <f>VLOOKUP(MID(B32,6,1),'Tabel Acuan'!$A$10:$B$17,2,0)</f>
        <v>Sales</v>
      </c>
      <c r="E32" t="str">
        <f>VLOOKUP(MID(B32,8,2),'Tabel Acuan'!$A$1:$B$6,2,0)</f>
        <v>Supervisor</v>
      </c>
      <c r="F32" s="12">
        <v>45078</v>
      </c>
      <c r="G32" s="8" cm="1">
        <f t="array" ref="G32">INDEX('Tabel Acuan'!$F$4:$F$39,
MATCH(1,('Tabel Acuan'!$D$4:$D$39='Data Gaji Pegawai'!D32)*('Tabel Acuan'!$E$4:$E$39='Data Gaji Pegawai'!E32),0))</f>
        <v>7500000</v>
      </c>
      <c r="H32">
        <f>I32/100000</f>
        <v>13</v>
      </c>
      <c r="I32" s="14">
        <v>1300000</v>
      </c>
      <c r="J32">
        <f ca="1">INT((TODAY()-F32)/30.417)</f>
        <v>37</v>
      </c>
      <c r="K32" s="13">
        <f t="shared" ca="1" si="0"/>
        <v>0</v>
      </c>
      <c r="L32" s="8">
        <f>G32*3.7%</f>
        <v>277500.00000000006</v>
      </c>
      <c r="M32" s="8">
        <f>G32*2%</f>
        <v>150000</v>
      </c>
      <c r="N32" s="8">
        <f>G32*4%</f>
        <v>300000</v>
      </c>
      <c r="O32" s="8">
        <f>G32*1%</f>
        <v>75000</v>
      </c>
      <c r="P32">
        <v>1</v>
      </c>
      <c r="Q32" s="13">
        <f>P32*200000</f>
        <v>200000</v>
      </c>
      <c r="R32" s="8">
        <v>2500000</v>
      </c>
      <c r="S32" s="9">
        <f>8%*G32</f>
        <v>600000</v>
      </c>
    </row>
    <row r="33" spans="1:19" x14ac:dyDescent="0.3">
      <c r="A33">
        <v>31</v>
      </c>
      <c r="B33" s="10" t="s">
        <v>109</v>
      </c>
      <c r="C33" s="10" t="s">
        <v>110</v>
      </c>
      <c r="D33" s="11" t="str">
        <f>VLOOKUP(MID(B33,6,1),'Tabel Acuan'!$A$10:$B$17,2,0)</f>
        <v>Sales</v>
      </c>
      <c r="E33" t="str">
        <f>VLOOKUP(MID(B33,8,2),'Tabel Acuan'!$A$1:$B$6,2,0)</f>
        <v>Staff</v>
      </c>
      <c r="F33" s="12">
        <v>42249</v>
      </c>
      <c r="G33" s="8" cm="1">
        <f t="array" ref="G33">INDEX('Tabel Acuan'!$F$4:$F$39,
MATCH(1,('Tabel Acuan'!$D$4:$D$39='Data Gaji Pegawai'!D33)*('Tabel Acuan'!$E$4:$E$39='Data Gaji Pegawai'!E33),0))</f>
        <v>5000000</v>
      </c>
      <c r="H33">
        <f>I33/100000</f>
        <v>32</v>
      </c>
      <c r="I33" s="14">
        <v>3200000</v>
      </c>
      <c r="J33">
        <f ca="1">INT((TODAY()-F33)/30.417)</f>
        <v>130</v>
      </c>
      <c r="K33" s="13">
        <f t="shared" ca="1" si="0"/>
        <v>0</v>
      </c>
      <c r="L33" s="8">
        <f>G33*3.7%</f>
        <v>185000.00000000003</v>
      </c>
      <c r="M33" s="8">
        <f>G33*2%</f>
        <v>100000</v>
      </c>
      <c r="N33" s="8">
        <f>G33*4%</f>
        <v>200000</v>
      </c>
      <c r="O33" s="8">
        <f>G33*1%</f>
        <v>50000</v>
      </c>
      <c r="P33">
        <v>5</v>
      </c>
      <c r="Q33" s="13">
        <f>P33*200000</f>
        <v>1000000</v>
      </c>
      <c r="R33" s="8">
        <v>0</v>
      </c>
      <c r="S33" s="9">
        <f>8%*G33</f>
        <v>400000</v>
      </c>
    </row>
    <row r="34" spans="1:19" x14ac:dyDescent="0.3">
      <c r="A34">
        <v>32</v>
      </c>
      <c r="B34" s="10" t="s">
        <v>111</v>
      </c>
      <c r="C34" s="10" t="s">
        <v>112</v>
      </c>
      <c r="D34" s="11" t="str">
        <f>VLOOKUP(MID(B34,6,1),'Tabel Acuan'!$A$10:$B$17,2,0)</f>
        <v>Human Resources (HR)</v>
      </c>
      <c r="E34" t="str">
        <f>VLOOKUP(MID(B34,8,2),'Tabel Acuan'!$A$1:$B$6,2,0)</f>
        <v>Assistant Manager</v>
      </c>
      <c r="F34" s="12">
        <v>44961</v>
      </c>
      <c r="G34" s="8" cm="1">
        <f t="array" ref="G34">INDEX('Tabel Acuan'!$F$4:$F$39,
MATCH(1,('Tabel Acuan'!$D$4:$D$39='Data Gaji Pegawai'!D34)*('Tabel Acuan'!$E$4:$E$39='Data Gaji Pegawai'!E34),0))</f>
        <v>9000000</v>
      </c>
      <c r="H34">
        <f>I34/100000</f>
        <v>43</v>
      </c>
      <c r="I34" s="14">
        <v>4300000</v>
      </c>
      <c r="J34">
        <f ca="1">INT((TODAY()-F34)/30.417)</f>
        <v>40</v>
      </c>
      <c r="K34" s="13">
        <f t="shared" ca="1" si="0"/>
        <v>0</v>
      </c>
      <c r="L34" s="8">
        <f>G34*3.7%</f>
        <v>333000.00000000006</v>
      </c>
      <c r="M34" s="8">
        <f>G34*2%</f>
        <v>180000</v>
      </c>
      <c r="N34" s="8">
        <f>G34*4%</f>
        <v>360000</v>
      </c>
      <c r="O34" s="8">
        <f>G34*1%</f>
        <v>90000</v>
      </c>
      <c r="P34">
        <v>7</v>
      </c>
      <c r="Q34" s="13">
        <f>P34*200000</f>
        <v>1400000</v>
      </c>
      <c r="R34" s="8">
        <v>3000000</v>
      </c>
      <c r="S34" s="9">
        <f>8%*G34</f>
        <v>720000</v>
      </c>
    </row>
    <row r="35" spans="1:19" x14ac:dyDescent="0.3">
      <c r="A35">
        <v>33</v>
      </c>
      <c r="B35" s="10" t="s">
        <v>113</v>
      </c>
      <c r="C35" s="10" t="s">
        <v>114</v>
      </c>
      <c r="D35" s="11" t="str">
        <f>VLOOKUP(MID(B35,6,1),'Tabel Acuan'!$A$10:$B$17,2,0)</f>
        <v>Marketing</v>
      </c>
      <c r="E35" t="str">
        <f>VLOOKUP(MID(B35,8,2),'Tabel Acuan'!$A$1:$B$6,2,0)</f>
        <v>Senior Staff</v>
      </c>
      <c r="F35" s="12">
        <v>43315</v>
      </c>
      <c r="G35" s="8" cm="1">
        <f t="array" ref="G35">INDEX('Tabel Acuan'!$F$4:$F$39,
MATCH(1,('Tabel Acuan'!$D$4:$D$39='Data Gaji Pegawai'!D35)*('Tabel Acuan'!$E$4:$E$39='Data Gaji Pegawai'!E35),0))</f>
        <v>6400000</v>
      </c>
      <c r="H35">
        <f>I35/100000</f>
        <v>42</v>
      </c>
      <c r="I35" s="14">
        <v>4200000</v>
      </c>
      <c r="J35">
        <f ca="1">INT((TODAY()-F35)/30.417)</f>
        <v>95</v>
      </c>
      <c r="K35" s="13">
        <f t="shared" ca="1" si="0"/>
        <v>0</v>
      </c>
      <c r="L35" s="8">
        <f>G35*3.7%</f>
        <v>236800.00000000003</v>
      </c>
      <c r="M35" s="8">
        <f>G35*2%</f>
        <v>128000</v>
      </c>
      <c r="N35" s="8">
        <f>G35*4%</f>
        <v>256000</v>
      </c>
      <c r="O35" s="8">
        <f>G35*1%</f>
        <v>64000</v>
      </c>
      <c r="P35">
        <v>10</v>
      </c>
      <c r="Q35" s="13">
        <f>P35*200000</f>
        <v>2000000</v>
      </c>
      <c r="R35" s="8">
        <v>750000</v>
      </c>
      <c r="S35" s="9">
        <f>8%*G35</f>
        <v>512000</v>
      </c>
    </row>
    <row r="36" spans="1:19" x14ac:dyDescent="0.3">
      <c r="A36">
        <v>34</v>
      </c>
      <c r="B36" s="10" t="s">
        <v>115</v>
      </c>
      <c r="C36" s="10" t="s">
        <v>116</v>
      </c>
      <c r="D36" s="11" t="str">
        <f>VLOOKUP(MID(B36,6,1),'Tabel Acuan'!$A$10:$B$17,2,0)</f>
        <v>Sales</v>
      </c>
      <c r="E36" t="str">
        <f>VLOOKUP(MID(B36,8,2),'Tabel Acuan'!$A$1:$B$6,2,0)</f>
        <v>Staff</v>
      </c>
      <c r="F36" s="12">
        <v>45725</v>
      </c>
      <c r="G36" s="8" cm="1">
        <f t="array" ref="G36">INDEX('Tabel Acuan'!$F$4:$F$39,
MATCH(1,('Tabel Acuan'!$D$4:$D$39='Data Gaji Pegawai'!D36)*('Tabel Acuan'!$E$4:$E$39='Data Gaji Pegawai'!E36),0))</f>
        <v>5000000</v>
      </c>
      <c r="H36">
        <f>I36/100000</f>
        <v>42</v>
      </c>
      <c r="I36" s="14">
        <v>4200000</v>
      </c>
      <c r="J36">
        <f ca="1">INT((TODAY()-F36)/30.417)</f>
        <v>15</v>
      </c>
      <c r="K36" s="13">
        <f t="shared" ca="1" si="0"/>
        <v>0</v>
      </c>
      <c r="L36" s="8">
        <f>G36*3.7%</f>
        <v>185000.00000000003</v>
      </c>
      <c r="M36" s="8">
        <f>G36*2%</f>
        <v>100000</v>
      </c>
      <c r="N36" s="8">
        <f>G36*4%</f>
        <v>200000</v>
      </c>
      <c r="O36" s="8">
        <f>G36*1%</f>
        <v>50000</v>
      </c>
      <c r="P36">
        <v>9</v>
      </c>
      <c r="Q36" s="13">
        <f>P36*200000</f>
        <v>1800000</v>
      </c>
      <c r="R36" s="8">
        <v>5000000</v>
      </c>
      <c r="S36" s="9">
        <f>8%*G36</f>
        <v>400000</v>
      </c>
    </row>
    <row r="37" spans="1:19" x14ac:dyDescent="0.3">
      <c r="A37">
        <v>35</v>
      </c>
      <c r="B37" s="10" t="s">
        <v>117</v>
      </c>
      <c r="C37" s="10" t="s">
        <v>118</v>
      </c>
      <c r="D37" s="11" t="str">
        <f>VLOOKUP(MID(B37,6,1),'Tabel Acuan'!$A$10:$B$17,2,0)</f>
        <v>Human Resources (HR)</v>
      </c>
      <c r="E37" t="str">
        <f>VLOOKUP(MID(B37,8,2),'Tabel Acuan'!$A$1:$B$6,2,0)</f>
        <v>Senior Staff</v>
      </c>
      <c r="F37" s="12">
        <v>42407</v>
      </c>
      <c r="G37" s="8" cm="1">
        <f t="array" ref="G37">INDEX('Tabel Acuan'!$F$4:$F$39,
MATCH(1,('Tabel Acuan'!$D$4:$D$39='Data Gaji Pegawai'!D37)*('Tabel Acuan'!$E$4:$E$39='Data Gaji Pegawai'!E37),0))</f>
        <v>6000000</v>
      </c>
      <c r="H37">
        <f>I37/100000</f>
        <v>34</v>
      </c>
      <c r="I37" s="14">
        <v>3400000</v>
      </c>
      <c r="J37">
        <f ca="1">INT((TODAY()-F37)/30.417)</f>
        <v>124</v>
      </c>
      <c r="K37" s="13">
        <f t="shared" ca="1" si="0"/>
        <v>0</v>
      </c>
      <c r="L37" s="8">
        <f>G37*3.7%</f>
        <v>222000.00000000003</v>
      </c>
      <c r="M37" s="8">
        <f>G37*2%</f>
        <v>120000</v>
      </c>
      <c r="N37" s="8">
        <f>G37*4%</f>
        <v>240000</v>
      </c>
      <c r="O37" s="8">
        <f>G37*1%</f>
        <v>60000</v>
      </c>
      <c r="P37">
        <v>6</v>
      </c>
      <c r="Q37" s="13">
        <f>P37*200000</f>
        <v>1200000</v>
      </c>
      <c r="R37" s="8">
        <v>500000</v>
      </c>
      <c r="S37" s="9">
        <f>8%*G37</f>
        <v>480000</v>
      </c>
    </row>
    <row r="38" spans="1:19" x14ac:dyDescent="0.3">
      <c r="A38">
        <v>36</v>
      </c>
      <c r="B38" s="10" t="s">
        <v>119</v>
      </c>
      <c r="C38" s="10" t="s">
        <v>120</v>
      </c>
      <c r="D38" s="11" t="str">
        <f>VLOOKUP(MID(B38,6,1),'Tabel Acuan'!$A$10:$B$17,2,0)</f>
        <v>Human Resources (HR)</v>
      </c>
      <c r="E38" t="str">
        <f>VLOOKUP(MID(B38,8,2),'Tabel Acuan'!$A$1:$B$6,2,0)</f>
        <v>Assistant Manager</v>
      </c>
      <c r="F38" s="12">
        <v>43911</v>
      </c>
      <c r="G38" s="8" cm="1">
        <f t="array" ref="G38">INDEX('Tabel Acuan'!$F$4:$F$39,
MATCH(1,('Tabel Acuan'!$D$4:$D$39='Data Gaji Pegawai'!D38)*('Tabel Acuan'!$E$4:$E$39='Data Gaji Pegawai'!E38),0))</f>
        <v>9000000</v>
      </c>
      <c r="H38">
        <f>I38/100000</f>
        <v>28</v>
      </c>
      <c r="I38" s="14">
        <v>2800000</v>
      </c>
      <c r="J38">
        <f ca="1">INT((TODAY()-F38)/30.417)</f>
        <v>75</v>
      </c>
      <c r="K38" s="13">
        <f t="shared" ca="1" si="0"/>
        <v>0</v>
      </c>
      <c r="L38" s="8">
        <f>G38*3.7%</f>
        <v>333000.00000000006</v>
      </c>
      <c r="M38" s="8">
        <f>G38*2%</f>
        <v>180000</v>
      </c>
      <c r="N38" s="8">
        <f>G38*4%</f>
        <v>360000</v>
      </c>
      <c r="O38" s="8">
        <f>G38*1%</f>
        <v>90000</v>
      </c>
      <c r="P38">
        <v>9</v>
      </c>
      <c r="Q38" s="13">
        <f>P38*200000</f>
        <v>1800000</v>
      </c>
      <c r="R38" s="8">
        <v>5000000</v>
      </c>
      <c r="S38" s="9">
        <f>8%*G38</f>
        <v>720000</v>
      </c>
    </row>
    <row r="39" spans="1:19" x14ac:dyDescent="0.3">
      <c r="A39">
        <v>37</v>
      </c>
      <c r="B39" s="10" t="s">
        <v>121</v>
      </c>
      <c r="C39" s="10" t="s">
        <v>122</v>
      </c>
      <c r="D39" s="11" t="str">
        <f>VLOOKUP(MID(B39,6,1),'Tabel Acuan'!$A$10:$B$17,2,0)</f>
        <v>Marketing</v>
      </c>
      <c r="E39" t="str">
        <f>VLOOKUP(MID(B39,8,2),'Tabel Acuan'!$A$1:$B$6,2,0)</f>
        <v>Staff</v>
      </c>
      <c r="F39" s="12">
        <v>45997</v>
      </c>
      <c r="G39" s="8" cm="1">
        <f t="array" ref="G39">INDEX('Tabel Acuan'!$F$4:$F$39,
MATCH(1,('Tabel Acuan'!$D$4:$D$39='Data Gaji Pegawai'!D39)*('Tabel Acuan'!$E$4:$E$39='Data Gaji Pegawai'!E39),0))</f>
        <v>5300000</v>
      </c>
      <c r="H39">
        <f>I39/100000</f>
        <v>6</v>
      </c>
      <c r="I39" s="14">
        <v>600000</v>
      </c>
      <c r="J39">
        <f ca="1">INT((TODAY()-F39)/30.417)</f>
        <v>6</v>
      </c>
      <c r="K39" s="13">
        <f t="shared" ca="1" si="0"/>
        <v>0</v>
      </c>
      <c r="L39" s="8">
        <f>G39*3.7%</f>
        <v>196100.00000000003</v>
      </c>
      <c r="M39" s="8">
        <f>G39*2%</f>
        <v>106000</v>
      </c>
      <c r="N39" s="8">
        <f>G39*4%</f>
        <v>212000</v>
      </c>
      <c r="O39" s="8">
        <f>G39*1%</f>
        <v>53000</v>
      </c>
      <c r="P39">
        <v>4</v>
      </c>
      <c r="Q39" s="13">
        <f>P39*200000</f>
        <v>800000</v>
      </c>
      <c r="R39" s="8">
        <v>0</v>
      </c>
      <c r="S39" s="9">
        <f>8%*G39</f>
        <v>424000</v>
      </c>
    </row>
    <row r="40" spans="1:19" x14ac:dyDescent="0.3">
      <c r="A40">
        <v>38</v>
      </c>
      <c r="B40" s="10" t="s">
        <v>123</v>
      </c>
      <c r="C40" s="10" t="s">
        <v>124</v>
      </c>
      <c r="D40" s="11" t="str">
        <f>VLOOKUP(MID(B40,6,1),'Tabel Acuan'!$A$10:$B$17,2,0)</f>
        <v>Sales</v>
      </c>
      <c r="E40" t="str">
        <f>VLOOKUP(MID(B40,8,2),'Tabel Acuan'!$A$1:$B$6,2,0)</f>
        <v>Senior Staff</v>
      </c>
      <c r="F40" s="12">
        <v>42679</v>
      </c>
      <c r="G40" s="8" cm="1">
        <f t="array" ref="G40">INDEX('Tabel Acuan'!$F$4:$F$39,
MATCH(1,('Tabel Acuan'!$D$4:$D$39='Data Gaji Pegawai'!D40)*('Tabel Acuan'!$E$4:$E$39='Data Gaji Pegawai'!E40),0))</f>
        <v>6000000</v>
      </c>
      <c r="H40">
        <f>I40/100000</f>
        <v>13</v>
      </c>
      <c r="I40" s="14">
        <v>1300000</v>
      </c>
      <c r="J40">
        <f ca="1">INT((TODAY()-F40)/30.417)</f>
        <v>115</v>
      </c>
      <c r="K40" s="13">
        <f t="shared" ca="1" si="0"/>
        <v>0</v>
      </c>
      <c r="L40" s="8">
        <f>G40*3.7%</f>
        <v>222000.00000000003</v>
      </c>
      <c r="M40" s="8">
        <f>G40*2%</f>
        <v>120000</v>
      </c>
      <c r="N40" s="8">
        <f>G40*4%</f>
        <v>240000</v>
      </c>
      <c r="O40" s="8">
        <f>G40*1%</f>
        <v>60000</v>
      </c>
      <c r="P40">
        <v>10</v>
      </c>
      <c r="Q40" s="13">
        <f>P40*200000</f>
        <v>2000000</v>
      </c>
      <c r="R40" s="8">
        <v>0</v>
      </c>
      <c r="S40" s="9">
        <f>8%*G40</f>
        <v>480000</v>
      </c>
    </row>
    <row r="41" spans="1:19" x14ac:dyDescent="0.3">
      <c r="A41">
        <v>39</v>
      </c>
      <c r="B41" s="10" t="s">
        <v>125</v>
      </c>
      <c r="C41" s="10" t="s">
        <v>126</v>
      </c>
      <c r="D41" s="11" t="str">
        <f>VLOOKUP(MID(B41,6,1),'Tabel Acuan'!$A$10:$B$17,2,0)</f>
        <v>Operations</v>
      </c>
      <c r="E41" t="str">
        <f>VLOOKUP(MID(B41,8,2),'Tabel Acuan'!$A$1:$B$6,2,0)</f>
        <v>Staff</v>
      </c>
      <c r="F41" s="12">
        <v>45684</v>
      </c>
      <c r="G41" s="8" cm="1">
        <f t="array" ref="G41">INDEX('Tabel Acuan'!$F$4:$F$39,
MATCH(1,('Tabel Acuan'!$D$4:$D$39='Data Gaji Pegawai'!D41)*('Tabel Acuan'!$E$4:$E$39='Data Gaji Pegawai'!E41),0))</f>
        <v>5200000</v>
      </c>
      <c r="H41">
        <f>I41/100000</f>
        <v>5</v>
      </c>
      <c r="I41" s="14">
        <v>500000</v>
      </c>
      <c r="J41">
        <f ca="1">INT((TODAY()-F41)/30.417)</f>
        <v>17</v>
      </c>
      <c r="K41" s="13">
        <f t="shared" ca="1" si="0"/>
        <v>0</v>
      </c>
      <c r="L41" s="8">
        <f>G41*3.7%</f>
        <v>192400.00000000003</v>
      </c>
      <c r="M41" s="8">
        <f>G41*2%</f>
        <v>104000</v>
      </c>
      <c r="N41" s="8">
        <f>G41*4%</f>
        <v>208000</v>
      </c>
      <c r="O41" s="8">
        <f>G41*1%</f>
        <v>52000</v>
      </c>
      <c r="P41">
        <v>13</v>
      </c>
      <c r="Q41" s="13">
        <f>P41*200000</f>
        <v>2600000</v>
      </c>
      <c r="R41" s="8">
        <v>250000</v>
      </c>
      <c r="S41" s="9">
        <f>8%*G41</f>
        <v>416000</v>
      </c>
    </row>
    <row r="42" spans="1:19" x14ac:dyDescent="0.3">
      <c r="A42">
        <v>40</v>
      </c>
      <c r="B42" s="10" t="s">
        <v>127</v>
      </c>
      <c r="C42" s="10" t="s">
        <v>128</v>
      </c>
      <c r="D42" s="11" t="str">
        <f>VLOOKUP(MID(B42,6,1),'Tabel Acuan'!$A$10:$B$17,2,0)</f>
        <v>Logistics</v>
      </c>
      <c r="E42" t="str">
        <f>VLOOKUP(MID(B42,8,2),'Tabel Acuan'!$A$1:$B$6,2,0)</f>
        <v>Supervisor</v>
      </c>
      <c r="F42" s="12">
        <v>42087</v>
      </c>
      <c r="G42" s="8" cm="1">
        <f t="array" ref="G42">INDEX('Tabel Acuan'!$F$4:$F$39,
MATCH(1,('Tabel Acuan'!$D$4:$D$39='Data Gaji Pegawai'!D42)*('Tabel Acuan'!$E$4:$E$39='Data Gaji Pegawai'!E42),0))</f>
        <v>7500000</v>
      </c>
      <c r="H42">
        <f>I42/100000</f>
        <v>47</v>
      </c>
      <c r="I42" s="14">
        <v>4700000</v>
      </c>
      <c r="J42">
        <f ca="1">INT((TODAY()-F42)/30.417)</f>
        <v>135</v>
      </c>
      <c r="K42" s="13">
        <f t="shared" ca="1" si="0"/>
        <v>0</v>
      </c>
      <c r="L42" s="8">
        <f>G42*3.7%</f>
        <v>277500.00000000006</v>
      </c>
      <c r="M42" s="8">
        <f>G42*2%</f>
        <v>150000</v>
      </c>
      <c r="N42" s="8">
        <f>G42*4%</f>
        <v>300000</v>
      </c>
      <c r="O42" s="8">
        <f>G42*1%</f>
        <v>75000</v>
      </c>
      <c r="P42">
        <v>14</v>
      </c>
      <c r="Q42" s="13">
        <f>P42*200000</f>
        <v>2800000</v>
      </c>
      <c r="R42" s="8">
        <v>1500000</v>
      </c>
      <c r="S42" s="9">
        <f>8%*G42</f>
        <v>600000</v>
      </c>
    </row>
    <row r="43" spans="1:19" x14ac:dyDescent="0.3">
      <c r="A43">
        <v>41</v>
      </c>
      <c r="B43" s="10" t="s">
        <v>129</v>
      </c>
      <c r="C43" s="10" t="s">
        <v>130</v>
      </c>
      <c r="D43" s="11" t="str">
        <f>VLOOKUP(MID(B43,6,1),'Tabel Acuan'!$A$10:$B$17,2,0)</f>
        <v>Human Resources (HR)</v>
      </c>
      <c r="E43" t="str">
        <f>VLOOKUP(MID(B43,8,2),'Tabel Acuan'!$A$1:$B$6,2,0)</f>
        <v>Staff</v>
      </c>
      <c r="F43" s="12">
        <v>45206</v>
      </c>
      <c r="G43" s="8" cm="1">
        <f t="array" ref="G43">INDEX('Tabel Acuan'!$F$4:$F$39,
MATCH(1,('Tabel Acuan'!$D$4:$D$39='Data Gaji Pegawai'!D43)*('Tabel Acuan'!$E$4:$E$39='Data Gaji Pegawai'!E43),0))</f>
        <v>5000000</v>
      </c>
      <c r="H43">
        <f>I43/100000</f>
        <v>2</v>
      </c>
      <c r="I43" s="14">
        <v>200000</v>
      </c>
      <c r="J43">
        <f ca="1">INT((TODAY()-F43)/30.417)</f>
        <v>32</v>
      </c>
      <c r="K43" s="13">
        <f t="shared" ca="1" si="0"/>
        <v>0</v>
      </c>
      <c r="L43" s="8">
        <f>G43*3.7%</f>
        <v>185000.00000000003</v>
      </c>
      <c r="M43" s="8">
        <f>G43*2%</f>
        <v>100000</v>
      </c>
      <c r="N43" s="8">
        <f>G43*4%</f>
        <v>200000</v>
      </c>
      <c r="O43" s="8">
        <f>G43*1%</f>
        <v>50000</v>
      </c>
      <c r="P43">
        <v>11</v>
      </c>
      <c r="Q43" s="13">
        <f>P43*200000</f>
        <v>2200000</v>
      </c>
      <c r="R43" s="8">
        <v>500000</v>
      </c>
      <c r="S43" s="9">
        <f>8%*G43</f>
        <v>400000</v>
      </c>
    </row>
    <row r="44" spans="1:19" x14ac:dyDescent="0.3">
      <c r="A44">
        <v>42</v>
      </c>
      <c r="B44" s="10" t="s">
        <v>131</v>
      </c>
      <c r="C44" s="10" t="s">
        <v>132</v>
      </c>
      <c r="D44" s="11" t="str">
        <f>VLOOKUP(MID(B44,6,1),'Tabel Acuan'!$A$10:$B$17,2,0)</f>
        <v>Finance</v>
      </c>
      <c r="E44" t="str">
        <f>VLOOKUP(MID(B44,8,2),'Tabel Acuan'!$A$1:$B$6,2,0)</f>
        <v>Staff</v>
      </c>
      <c r="F44" s="12">
        <v>44380</v>
      </c>
      <c r="G44" s="8" cm="1">
        <f t="array" ref="G44">INDEX('Tabel Acuan'!$F$4:$F$39,
MATCH(1,('Tabel Acuan'!$D$4:$D$39='Data Gaji Pegawai'!D44)*('Tabel Acuan'!$E$4:$E$39='Data Gaji Pegawai'!E44),0))</f>
        <v>5500000</v>
      </c>
      <c r="H44">
        <f>I44/100000</f>
        <v>13</v>
      </c>
      <c r="I44" s="14">
        <v>1300000</v>
      </c>
      <c r="J44">
        <f ca="1">INT((TODAY()-F44)/30.417)</f>
        <v>59</v>
      </c>
      <c r="K44" s="13">
        <f t="shared" ca="1" si="0"/>
        <v>0</v>
      </c>
      <c r="L44" s="8">
        <f>G44*3.7%</f>
        <v>203500.00000000003</v>
      </c>
      <c r="M44" s="8">
        <f>G44*2%</f>
        <v>110000</v>
      </c>
      <c r="N44" s="8">
        <f>G44*4%</f>
        <v>220000</v>
      </c>
      <c r="O44" s="8">
        <f>G44*1%</f>
        <v>55000</v>
      </c>
      <c r="P44">
        <v>7</v>
      </c>
      <c r="Q44" s="13">
        <f>P44*200000</f>
        <v>1400000</v>
      </c>
      <c r="R44" s="8">
        <v>1250000</v>
      </c>
      <c r="S44" s="9">
        <f>8%*G44</f>
        <v>440000</v>
      </c>
    </row>
    <row r="45" spans="1:19" x14ac:dyDescent="0.3">
      <c r="A45">
        <v>43</v>
      </c>
      <c r="B45" s="10" t="s">
        <v>133</v>
      </c>
      <c r="C45" s="10" t="s">
        <v>134</v>
      </c>
      <c r="D45" s="11" t="str">
        <f>VLOOKUP(MID(B45,6,1),'Tabel Acuan'!$A$10:$B$17,2,0)</f>
        <v>Operations</v>
      </c>
      <c r="E45" t="str">
        <f>VLOOKUP(MID(B45,8,2),'Tabel Acuan'!$A$1:$B$6,2,0)</f>
        <v>Senior Staff</v>
      </c>
      <c r="F45" s="12">
        <v>45006</v>
      </c>
      <c r="G45" s="8" cm="1">
        <f t="array" ref="G45">INDEX('Tabel Acuan'!$F$4:$F$39,
MATCH(1,('Tabel Acuan'!$D$4:$D$39='Data Gaji Pegawai'!D45)*('Tabel Acuan'!$E$4:$E$39='Data Gaji Pegawai'!E45),0))</f>
        <v>6300000</v>
      </c>
      <c r="H45">
        <f>I45/100000</f>
        <v>59</v>
      </c>
      <c r="I45" s="14">
        <v>5900000</v>
      </c>
      <c r="J45">
        <f ca="1">INT((TODAY()-F45)/30.417)</f>
        <v>39</v>
      </c>
      <c r="K45" s="13">
        <f t="shared" ca="1" si="0"/>
        <v>0</v>
      </c>
      <c r="L45" s="8">
        <f>G45*3.7%</f>
        <v>233100.00000000003</v>
      </c>
      <c r="M45" s="8">
        <f>G45*2%</f>
        <v>126000</v>
      </c>
      <c r="N45" s="8">
        <f>G45*4%</f>
        <v>252000</v>
      </c>
      <c r="O45" s="8">
        <f>G45*1%</f>
        <v>63000</v>
      </c>
      <c r="P45">
        <v>7</v>
      </c>
      <c r="Q45" s="13">
        <f>P45*200000</f>
        <v>1400000</v>
      </c>
      <c r="R45" s="8">
        <v>5000000</v>
      </c>
      <c r="S45" s="9">
        <f>8%*G45</f>
        <v>504000</v>
      </c>
    </row>
    <row r="46" spans="1:19" x14ac:dyDescent="0.3">
      <c r="A46">
        <v>44</v>
      </c>
      <c r="B46" s="10" t="s">
        <v>135</v>
      </c>
      <c r="C46" s="10" t="s">
        <v>136</v>
      </c>
      <c r="D46" s="11" t="str">
        <f>VLOOKUP(MID(B46,6,1),'Tabel Acuan'!$A$10:$B$17,2,0)</f>
        <v>Information Technology (IT)</v>
      </c>
      <c r="E46" t="str">
        <f>VLOOKUP(MID(B46,8,2),'Tabel Acuan'!$A$1:$B$6,2,0)</f>
        <v>Staff</v>
      </c>
      <c r="F46" s="12">
        <v>42946</v>
      </c>
      <c r="G46" s="8" cm="1">
        <f t="array" ref="G46">INDEX('Tabel Acuan'!$F$4:$F$39,
MATCH(1,('Tabel Acuan'!$D$4:$D$39='Data Gaji Pegawai'!D46)*('Tabel Acuan'!$E$4:$E$39='Data Gaji Pegawai'!E46),0))</f>
        <v>6000000</v>
      </c>
      <c r="H46">
        <f>I46/100000</f>
        <v>51</v>
      </c>
      <c r="I46" s="14">
        <v>5100000</v>
      </c>
      <c r="J46">
        <f ca="1">INT((TODAY()-F46)/30.417)</f>
        <v>107</v>
      </c>
      <c r="K46" s="13">
        <f t="shared" ca="1" si="0"/>
        <v>0</v>
      </c>
      <c r="L46" s="8">
        <f>G46*3.7%</f>
        <v>222000.00000000003</v>
      </c>
      <c r="M46" s="8">
        <f>G46*2%</f>
        <v>120000</v>
      </c>
      <c r="N46" s="8">
        <f>G46*4%</f>
        <v>240000</v>
      </c>
      <c r="O46" s="8">
        <f>G46*1%</f>
        <v>60000</v>
      </c>
      <c r="P46">
        <v>7</v>
      </c>
      <c r="Q46" s="13">
        <f>P46*200000</f>
        <v>1400000</v>
      </c>
      <c r="R46" s="8">
        <v>0</v>
      </c>
      <c r="S46" s="9">
        <f>8%*G46</f>
        <v>480000</v>
      </c>
    </row>
    <row r="47" spans="1:19" x14ac:dyDescent="0.3">
      <c r="A47">
        <v>45</v>
      </c>
      <c r="B47" s="10" t="s">
        <v>137</v>
      </c>
      <c r="C47" s="10" t="s">
        <v>138</v>
      </c>
      <c r="D47" s="11" t="str">
        <f>VLOOKUP(MID(B47,6,1),'Tabel Acuan'!$A$10:$B$17,2,0)</f>
        <v>Information Technology (IT)</v>
      </c>
      <c r="E47" t="str">
        <f>VLOOKUP(MID(B47,8,2),'Tabel Acuan'!$A$1:$B$6,2,0)</f>
        <v>Assistant Manager</v>
      </c>
      <c r="F47" s="12">
        <v>42472</v>
      </c>
      <c r="G47" s="8" cm="1">
        <f t="array" ref="G47">INDEX('Tabel Acuan'!$F$4:$F$39,
MATCH(1,('Tabel Acuan'!$D$4:$D$39='Data Gaji Pegawai'!D47)*('Tabel Acuan'!$E$4:$E$39='Data Gaji Pegawai'!E47),0))</f>
        <v>11500000</v>
      </c>
      <c r="H47">
        <f>I47/100000</f>
        <v>52</v>
      </c>
      <c r="I47" s="14">
        <v>5200000</v>
      </c>
      <c r="J47">
        <f ca="1">INT((TODAY()-F47)/30.417)</f>
        <v>122</v>
      </c>
      <c r="K47" s="13">
        <f t="shared" ca="1" si="0"/>
        <v>0</v>
      </c>
      <c r="L47" s="8">
        <f>G47*3.7%</f>
        <v>425500.00000000006</v>
      </c>
      <c r="M47" s="8">
        <f>G47*2%</f>
        <v>230000</v>
      </c>
      <c r="N47" s="8">
        <f>G47*4%</f>
        <v>460000</v>
      </c>
      <c r="O47" s="8">
        <f>G47*1%</f>
        <v>115000</v>
      </c>
      <c r="P47">
        <v>14</v>
      </c>
      <c r="Q47" s="13">
        <f>P47*200000</f>
        <v>2800000</v>
      </c>
      <c r="R47" s="8">
        <v>0</v>
      </c>
      <c r="S47" s="9">
        <f>8%*G47</f>
        <v>920000</v>
      </c>
    </row>
    <row r="48" spans="1:19" x14ac:dyDescent="0.3">
      <c r="A48">
        <v>46</v>
      </c>
      <c r="B48" s="10" t="s">
        <v>139</v>
      </c>
      <c r="C48" s="10" t="s">
        <v>140</v>
      </c>
      <c r="D48" s="11" t="str">
        <f>VLOOKUP(MID(B48,6,1),'Tabel Acuan'!$A$10:$B$17,2,0)</f>
        <v>Finance</v>
      </c>
      <c r="E48" t="str">
        <f>VLOOKUP(MID(B48,8,2),'Tabel Acuan'!$A$1:$B$6,2,0)</f>
        <v>Staff</v>
      </c>
      <c r="F48" s="12">
        <v>43269</v>
      </c>
      <c r="G48" s="8" cm="1">
        <f t="array" ref="G48">INDEX('Tabel Acuan'!$F$4:$F$39,
MATCH(1,('Tabel Acuan'!$D$4:$D$39='Data Gaji Pegawai'!D48)*('Tabel Acuan'!$E$4:$E$39='Data Gaji Pegawai'!E48),0))</f>
        <v>5500000</v>
      </c>
      <c r="H48">
        <f>I48/100000</f>
        <v>17</v>
      </c>
      <c r="I48" s="14">
        <v>1700000</v>
      </c>
      <c r="J48">
        <f ca="1">INT((TODAY()-F48)/30.417)</f>
        <v>96</v>
      </c>
      <c r="K48" s="13">
        <f t="shared" ca="1" si="0"/>
        <v>0</v>
      </c>
      <c r="L48" s="8">
        <f>G48*3.7%</f>
        <v>203500.00000000003</v>
      </c>
      <c r="M48" s="8">
        <f>G48*2%</f>
        <v>110000</v>
      </c>
      <c r="N48" s="8">
        <f>G48*4%</f>
        <v>220000</v>
      </c>
      <c r="O48" s="8">
        <f>G48*1%</f>
        <v>55000</v>
      </c>
      <c r="P48">
        <v>2</v>
      </c>
      <c r="Q48" s="13">
        <f>P48*200000</f>
        <v>400000</v>
      </c>
      <c r="R48" s="8">
        <v>1000000</v>
      </c>
      <c r="S48" s="9">
        <f>8%*G48</f>
        <v>440000</v>
      </c>
    </row>
    <row r="49" spans="1:19" x14ac:dyDescent="0.3">
      <c r="A49">
        <v>47</v>
      </c>
      <c r="B49" s="10" t="s">
        <v>141</v>
      </c>
      <c r="C49" s="10" t="s">
        <v>142</v>
      </c>
      <c r="D49" s="11" t="str">
        <f>VLOOKUP(MID(B49,6,1),'Tabel Acuan'!$A$10:$B$17,2,0)</f>
        <v>Sales</v>
      </c>
      <c r="E49" t="str">
        <f>VLOOKUP(MID(B49,8,2),'Tabel Acuan'!$A$1:$B$6,2,0)</f>
        <v>Senior Staff</v>
      </c>
      <c r="F49" s="12">
        <v>44000</v>
      </c>
      <c r="G49" s="8" cm="1">
        <f t="array" ref="G49">INDEX('Tabel Acuan'!$F$4:$F$39,
MATCH(1,('Tabel Acuan'!$D$4:$D$39='Data Gaji Pegawai'!D49)*('Tabel Acuan'!$E$4:$E$39='Data Gaji Pegawai'!E49),0))</f>
        <v>6000000</v>
      </c>
      <c r="H49">
        <f>I49/100000</f>
        <v>60</v>
      </c>
      <c r="I49" s="14">
        <v>6000000</v>
      </c>
      <c r="J49">
        <f ca="1">INT((TODAY()-F49)/30.417)</f>
        <v>72</v>
      </c>
      <c r="K49" s="13">
        <f t="shared" ca="1" si="0"/>
        <v>0</v>
      </c>
      <c r="L49" s="8">
        <f>G49*3.7%</f>
        <v>222000.00000000003</v>
      </c>
      <c r="M49" s="8">
        <f>G49*2%</f>
        <v>120000</v>
      </c>
      <c r="N49" s="8">
        <f>G49*4%</f>
        <v>240000</v>
      </c>
      <c r="O49" s="8">
        <f>G49*1%</f>
        <v>60000</v>
      </c>
      <c r="P49">
        <v>0</v>
      </c>
      <c r="Q49" s="13">
        <f>P49*200000</f>
        <v>0</v>
      </c>
      <c r="R49" s="8">
        <v>0</v>
      </c>
      <c r="S49" s="9">
        <f>8%*G49</f>
        <v>480000</v>
      </c>
    </row>
    <row r="50" spans="1:19" x14ac:dyDescent="0.3">
      <c r="A50">
        <v>48</v>
      </c>
      <c r="B50" s="10" t="s">
        <v>143</v>
      </c>
      <c r="C50" s="10" t="s">
        <v>144</v>
      </c>
      <c r="D50" s="11" t="str">
        <f>VLOOKUP(MID(B50,6,1),'Tabel Acuan'!$A$10:$B$17,2,0)</f>
        <v>Finance</v>
      </c>
      <c r="E50" t="str">
        <f>VLOOKUP(MID(B50,8,2),'Tabel Acuan'!$A$1:$B$6,2,0)</f>
        <v>Senior Staff</v>
      </c>
      <c r="F50" s="12">
        <v>43521</v>
      </c>
      <c r="G50" s="8" cm="1">
        <f t="array" ref="G50">INDEX('Tabel Acuan'!$F$4:$F$39,
MATCH(1,('Tabel Acuan'!$D$4:$D$39='Data Gaji Pegawai'!D50)*('Tabel Acuan'!$E$4:$E$39='Data Gaji Pegawai'!E50),0))</f>
        <v>6600000</v>
      </c>
      <c r="H50">
        <f>I50/100000</f>
        <v>38</v>
      </c>
      <c r="I50" s="14">
        <v>3800000</v>
      </c>
      <c r="J50">
        <f ca="1">INT((TODAY()-F50)/30.417)</f>
        <v>88</v>
      </c>
      <c r="K50" s="13">
        <f t="shared" ca="1" si="0"/>
        <v>0</v>
      </c>
      <c r="L50" s="8">
        <f>G50*3.7%</f>
        <v>244200.00000000003</v>
      </c>
      <c r="M50" s="8">
        <f>G50*2%</f>
        <v>132000</v>
      </c>
      <c r="N50" s="8">
        <f>G50*4%</f>
        <v>264000</v>
      </c>
      <c r="O50" s="8">
        <f>G50*1%</f>
        <v>66000</v>
      </c>
      <c r="P50">
        <v>13</v>
      </c>
      <c r="Q50" s="13">
        <f>P50*200000</f>
        <v>2600000</v>
      </c>
      <c r="R50" s="8">
        <v>0</v>
      </c>
      <c r="S50" s="9">
        <f>8%*G50</f>
        <v>528000</v>
      </c>
    </row>
    <row r="51" spans="1:19" x14ac:dyDescent="0.3">
      <c r="A51">
        <v>49</v>
      </c>
      <c r="B51" s="10" t="s">
        <v>145</v>
      </c>
      <c r="C51" s="10" t="s">
        <v>146</v>
      </c>
      <c r="D51" s="11" t="str">
        <f>VLOOKUP(MID(B51,6,1),'Tabel Acuan'!$A$10:$B$17,2,0)</f>
        <v>Information Technology (IT)</v>
      </c>
      <c r="E51" t="str">
        <f>VLOOKUP(MID(B51,8,2),'Tabel Acuan'!$A$1:$B$6,2,0)</f>
        <v>Senior Staff</v>
      </c>
      <c r="F51" s="12">
        <v>44028</v>
      </c>
      <c r="G51" s="8" cm="1">
        <f t="array" ref="G51">INDEX('Tabel Acuan'!$F$4:$F$39,
MATCH(1,('Tabel Acuan'!$D$4:$D$39='Data Gaji Pegawai'!D51)*('Tabel Acuan'!$E$4:$E$39='Data Gaji Pegawai'!E51),0))</f>
        <v>7500000</v>
      </c>
      <c r="H51">
        <f>I51/100000</f>
        <v>57</v>
      </c>
      <c r="I51" s="14">
        <v>5700000</v>
      </c>
      <c r="J51">
        <f ca="1">INT((TODAY()-F51)/30.417)</f>
        <v>71</v>
      </c>
      <c r="K51" s="13">
        <f t="shared" ca="1" si="0"/>
        <v>0</v>
      </c>
      <c r="L51" s="8">
        <f>G51*3.7%</f>
        <v>277500.00000000006</v>
      </c>
      <c r="M51" s="8">
        <f>G51*2%</f>
        <v>150000</v>
      </c>
      <c r="N51" s="8">
        <f>G51*4%</f>
        <v>300000</v>
      </c>
      <c r="O51" s="8">
        <f>G51*1%</f>
        <v>75000</v>
      </c>
      <c r="P51">
        <v>6</v>
      </c>
      <c r="Q51" s="13">
        <f>P51*200000</f>
        <v>1200000</v>
      </c>
      <c r="R51" s="8">
        <v>0</v>
      </c>
      <c r="S51" s="9">
        <f>8%*G51</f>
        <v>600000</v>
      </c>
    </row>
    <row r="52" spans="1:19" x14ac:dyDescent="0.3">
      <c r="A52">
        <v>50</v>
      </c>
      <c r="B52" s="10" t="s">
        <v>147</v>
      </c>
      <c r="C52" s="10" t="s">
        <v>148</v>
      </c>
      <c r="D52" s="11" t="str">
        <f>VLOOKUP(MID(B52,6,1),'Tabel Acuan'!$A$10:$B$17,2,0)</f>
        <v>Human Resources (HR)</v>
      </c>
      <c r="E52" t="str">
        <f>VLOOKUP(MID(B52,8,2),'Tabel Acuan'!$A$1:$B$6,2,0)</f>
        <v>Senior Staff</v>
      </c>
      <c r="F52" s="12">
        <v>44540</v>
      </c>
      <c r="G52" s="8" cm="1">
        <f t="array" ref="G52">INDEX('Tabel Acuan'!$F$4:$F$39,
MATCH(1,('Tabel Acuan'!$D$4:$D$39='Data Gaji Pegawai'!D52)*('Tabel Acuan'!$E$4:$E$39='Data Gaji Pegawai'!E52),0))</f>
        <v>6000000</v>
      </c>
      <c r="H52">
        <f>I52/100000</f>
        <v>12</v>
      </c>
      <c r="I52" s="14">
        <v>1200000</v>
      </c>
      <c r="J52">
        <f ca="1">INT((TODAY()-F52)/30.417)</f>
        <v>54</v>
      </c>
      <c r="K52" s="13">
        <f t="shared" ca="1" si="0"/>
        <v>0</v>
      </c>
      <c r="L52" s="8">
        <f>G52*3.7%</f>
        <v>222000.00000000003</v>
      </c>
      <c r="M52" s="8">
        <f>G52*2%</f>
        <v>120000</v>
      </c>
      <c r="N52" s="8">
        <f>G52*4%</f>
        <v>240000</v>
      </c>
      <c r="O52" s="8">
        <f>G52*1%</f>
        <v>60000</v>
      </c>
      <c r="P52">
        <v>11</v>
      </c>
      <c r="Q52" s="13">
        <f>P52*200000</f>
        <v>2200000</v>
      </c>
      <c r="R52" s="8">
        <v>3500000</v>
      </c>
      <c r="S52" s="9">
        <f>8%*G52</f>
        <v>480000</v>
      </c>
    </row>
    <row r="53" spans="1:19" x14ac:dyDescent="0.3">
      <c r="A53">
        <v>51</v>
      </c>
      <c r="B53" s="10" t="s">
        <v>149</v>
      </c>
      <c r="C53" s="10" t="s">
        <v>150</v>
      </c>
      <c r="D53" s="11" t="str">
        <f>VLOOKUP(MID(B53,6,1),'Tabel Acuan'!$A$10:$B$17,2,0)</f>
        <v>Marketing</v>
      </c>
      <c r="E53" t="str">
        <f>VLOOKUP(MID(B53,8,2),'Tabel Acuan'!$A$1:$B$6,2,0)</f>
        <v>Staff</v>
      </c>
      <c r="F53" s="12">
        <v>43984</v>
      </c>
      <c r="G53" s="8" cm="1">
        <f t="array" ref="G53">INDEX('Tabel Acuan'!$F$4:$F$39,
MATCH(1,('Tabel Acuan'!$D$4:$D$39='Data Gaji Pegawai'!D53)*('Tabel Acuan'!$E$4:$E$39='Data Gaji Pegawai'!E53),0))</f>
        <v>5300000</v>
      </c>
      <c r="H53">
        <f>I53/100000</f>
        <v>32</v>
      </c>
      <c r="I53" s="14">
        <v>3200000</v>
      </c>
      <c r="J53">
        <f ca="1">INT((TODAY()-F53)/30.417)</f>
        <v>73</v>
      </c>
      <c r="K53" s="13">
        <f t="shared" ca="1" si="0"/>
        <v>0</v>
      </c>
      <c r="L53" s="8">
        <f>G53*3.7%</f>
        <v>196100.00000000003</v>
      </c>
      <c r="M53" s="8">
        <f>G53*2%</f>
        <v>106000</v>
      </c>
      <c r="N53" s="8">
        <f>G53*4%</f>
        <v>212000</v>
      </c>
      <c r="O53" s="8">
        <f>G53*1%</f>
        <v>53000</v>
      </c>
      <c r="P53">
        <v>9</v>
      </c>
      <c r="Q53" s="13">
        <f>P53*200000</f>
        <v>1800000</v>
      </c>
      <c r="R53" s="8">
        <v>1250000</v>
      </c>
      <c r="S53" s="9">
        <f>8%*G53</f>
        <v>424000</v>
      </c>
    </row>
    <row r="54" spans="1:19" x14ac:dyDescent="0.3">
      <c r="A54">
        <v>52</v>
      </c>
      <c r="B54" s="10" t="s">
        <v>151</v>
      </c>
      <c r="C54" s="10" t="s">
        <v>152</v>
      </c>
      <c r="D54" s="11" t="str">
        <f>VLOOKUP(MID(B54,6,1),'Tabel Acuan'!$A$10:$B$17,2,0)</f>
        <v>Sales</v>
      </c>
      <c r="E54" t="str">
        <f>VLOOKUP(MID(B54,8,2),'Tabel Acuan'!$A$1:$B$6,2,0)</f>
        <v>Staff</v>
      </c>
      <c r="F54" s="12">
        <v>44412</v>
      </c>
      <c r="G54" s="8" cm="1">
        <f t="array" ref="G54">INDEX('Tabel Acuan'!$F$4:$F$39,
MATCH(1,('Tabel Acuan'!$D$4:$D$39='Data Gaji Pegawai'!D54)*('Tabel Acuan'!$E$4:$E$39='Data Gaji Pegawai'!E54),0))</f>
        <v>5000000</v>
      </c>
      <c r="H54">
        <f>I54/100000</f>
        <v>42</v>
      </c>
      <c r="I54" s="14">
        <v>4200000</v>
      </c>
      <c r="J54">
        <f ca="1">INT((TODAY()-F54)/30.417)</f>
        <v>58</v>
      </c>
      <c r="K54" s="13">
        <f t="shared" ca="1" si="0"/>
        <v>0</v>
      </c>
      <c r="L54" s="8">
        <f>G54*3.7%</f>
        <v>185000.00000000003</v>
      </c>
      <c r="M54" s="8">
        <f>G54*2%</f>
        <v>100000</v>
      </c>
      <c r="N54" s="8">
        <f>G54*4%</f>
        <v>200000</v>
      </c>
      <c r="O54" s="8">
        <f>G54*1%</f>
        <v>50000</v>
      </c>
      <c r="P54">
        <v>12</v>
      </c>
      <c r="Q54" s="13">
        <f>P54*200000</f>
        <v>2400000</v>
      </c>
      <c r="R54" s="8">
        <v>500000</v>
      </c>
      <c r="S54" s="9">
        <f>8%*G54</f>
        <v>400000</v>
      </c>
    </row>
    <row r="55" spans="1:19" x14ac:dyDescent="0.3">
      <c r="A55">
        <v>53</v>
      </c>
      <c r="B55" s="10" t="s">
        <v>153</v>
      </c>
      <c r="C55" s="10" t="s">
        <v>154</v>
      </c>
      <c r="D55" s="11" t="str">
        <f>VLOOKUP(MID(B55,6,1),'Tabel Acuan'!$A$10:$B$17,2,0)</f>
        <v>Marketing</v>
      </c>
      <c r="E55" t="str">
        <f>VLOOKUP(MID(B55,8,2),'Tabel Acuan'!$A$1:$B$6,2,0)</f>
        <v>Staff</v>
      </c>
      <c r="F55" s="12">
        <v>45447</v>
      </c>
      <c r="G55" s="8" cm="1">
        <f t="array" ref="G55">INDEX('Tabel Acuan'!$F$4:$F$39,
MATCH(1,('Tabel Acuan'!$D$4:$D$39='Data Gaji Pegawai'!D55)*('Tabel Acuan'!$E$4:$E$39='Data Gaji Pegawai'!E55),0))</f>
        <v>5300000</v>
      </c>
      <c r="H55">
        <f>I55/100000</f>
        <v>18</v>
      </c>
      <c r="I55" s="14">
        <v>1800000</v>
      </c>
      <c r="J55">
        <f ca="1">INT((TODAY()-F55)/30.417)</f>
        <v>24</v>
      </c>
      <c r="K55" s="13">
        <f t="shared" ca="1" si="0"/>
        <v>0</v>
      </c>
      <c r="L55" s="8">
        <f>G55*3.7%</f>
        <v>196100.00000000003</v>
      </c>
      <c r="M55" s="8">
        <f>G55*2%</f>
        <v>106000</v>
      </c>
      <c r="N55" s="8">
        <f>G55*4%</f>
        <v>212000</v>
      </c>
      <c r="O55" s="8">
        <f>G55*1%</f>
        <v>53000</v>
      </c>
      <c r="P55">
        <v>6</v>
      </c>
      <c r="Q55" s="13">
        <f>P55*200000</f>
        <v>1200000</v>
      </c>
      <c r="R55" s="8">
        <v>3000000</v>
      </c>
      <c r="S55" s="9">
        <f>8%*G55</f>
        <v>424000</v>
      </c>
    </row>
    <row r="56" spans="1:19" x14ac:dyDescent="0.3">
      <c r="A56">
        <v>54</v>
      </c>
      <c r="B56" s="10" t="s">
        <v>155</v>
      </c>
      <c r="C56" s="10" t="s">
        <v>156</v>
      </c>
      <c r="D56" s="11" t="str">
        <f>VLOOKUP(MID(B56,6,1),'Tabel Acuan'!$A$10:$B$17,2,0)</f>
        <v>Sales</v>
      </c>
      <c r="E56" t="str">
        <f>VLOOKUP(MID(B56,8,2),'Tabel Acuan'!$A$1:$B$6,2,0)</f>
        <v>Staff</v>
      </c>
      <c r="F56" s="12">
        <v>45637</v>
      </c>
      <c r="G56" s="8" cm="1">
        <f t="array" ref="G56">INDEX('Tabel Acuan'!$F$4:$F$39,
MATCH(1,('Tabel Acuan'!$D$4:$D$39='Data Gaji Pegawai'!D56)*('Tabel Acuan'!$E$4:$E$39='Data Gaji Pegawai'!E56),0))</f>
        <v>5000000</v>
      </c>
      <c r="H56">
        <f>I56/100000</f>
        <v>13</v>
      </c>
      <c r="I56" s="14">
        <v>1300000</v>
      </c>
      <c r="J56">
        <f ca="1">INT((TODAY()-F56)/30.417)</f>
        <v>18</v>
      </c>
      <c r="K56" s="13">
        <f t="shared" ca="1" si="0"/>
        <v>0</v>
      </c>
      <c r="L56" s="8">
        <f>G56*3.7%</f>
        <v>185000.00000000003</v>
      </c>
      <c r="M56" s="8">
        <f>G56*2%</f>
        <v>100000</v>
      </c>
      <c r="N56" s="8">
        <f>G56*4%</f>
        <v>200000</v>
      </c>
      <c r="O56" s="8">
        <f>G56*1%</f>
        <v>50000</v>
      </c>
      <c r="P56">
        <v>15</v>
      </c>
      <c r="Q56" s="13">
        <f>P56*200000</f>
        <v>3000000</v>
      </c>
      <c r="R56" s="8">
        <v>5000000</v>
      </c>
      <c r="S56" s="9">
        <f>8%*G56</f>
        <v>400000</v>
      </c>
    </row>
    <row r="57" spans="1:19" x14ac:dyDescent="0.3">
      <c r="A57">
        <v>55</v>
      </c>
      <c r="B57" s="10" t="s">
        <v>157</v>
      </c>
      <c r="C57" s="10" t="s">
        <v>158</v>
      </c>
      <c r="D57" s="11" t="str">
        <f>VLOOKUP(MID(B57,6,1),'Tabel Acuan'!$A$10:$B$17,2,0)</f>
        <v>Sales</v>
      </c>
      <c r="E57" t="str">
        <f>VLOOKUP(MID(B57,8,2),'Tabel Acuan'!$A$1:$B$6,2,0)</f>
        <v>Staff</v>
      </c>
      <c r="F57" s="12">
        <v>43060</v>
      </c>
      <c r="G57" s="8" cm="1">
        <f t="array" ref="G57">INDEX('Tabel Acuan'!$F$4:$F$39,
MATCH(1,('Tabel Acuan'!$D$4:$D$39='Data Gaji Pegawai'!D57)*('Tabel Acuan'!$E$4:$E$39='Data Gaji Pegawai'!E57),0))</f>
        <v>5000000</v>
      </c>
      <c r="H57">
        <f>I57/100000</f>
        <v>39</v>
      </c>
      <c r="I57" s="14">
        <v>3900000</v>
      </c>
      <c r="J57">
        <f ca="1">INT((TODAY()-F57)/30.417)</f>
        <v>103</v>
      </c>
      <c r="K57" s="13">
        <f t="shared" ca="1" si="0"/>
        <v>0</v>
      </c>
      <c r="L57" s="8">
        <f>G57*3.7%</f>
        <v>185000.00000000003</v>
      </c>
      <c r="M57" s="8">
        <f>G57*2%</f>
        <v>100000</v>
      </c>
      <c r="N57" s="8">
        <f>G57*4%</f>
        <v>200000</v>
      </c>
      <c r="O57" s="8">
        <f>G57*1%</f>
        <v>50000</v>
      </c>
      <c r="P57">
        <v>10</v>
      </c>
      <c r="Q57" s="13">
        <f>P57*200000</f>
        <v>2000000</v>
      </c>
      <c r="R57" s="8">
        <v>0</v>
      </c>
      <c r="S57" s="9">
        <f>8%*G57</f>
        <v>400000</v>
      </c>
    </row>
    <row r="58" spans="1:19" x14ac:dyDescent="0.3">
      <c r="A58">
        <v>56</v>
      </c>
      <c r="B58" s="10" t="s">
        <v>159</v>
      </c>
      <c r="C58" s="10" t="s">
        <v>160</v>
      </c>
      <c r="D58" s="11" t="str">
        <f>VLOOKUP(MID(B58,6,1),'Tabel Acuan'!$A$10:$B$17,2,0)</f>
        <v>Sales</v>
      </c>
      <c r="E58" t="str">
        <f>VLOOKUP(MID(B58,8,2),'Tabel Acuan'!$A$1:$B$6,2,0)</f>
        <v>Staff</v>
      </c>
      <c r="F58" s="12">
        <v>43113</v>
      </c>
      <c r="G58" s="8" cm="1">
        <f t="array" ref="G58">INDEX('Tabel Acuan'!$F$4:$F$39,
MATCH(1,('Tabel Acuan'!$D$4:$D$39='Data Gaji Pegawai'!D58)*('Tabel Acuan'!$E$4:$E$39='Data Gaji Pegawai'!E58),0))</f>
        <v>5000000</v>
      </c>
      <c r="H58">
        <f>I58/100000</f>
        <v>2</v>
      </c>
      <c r="I58" s="14">
        <v>200000</v>
      </c>
      <c r="J58">
        <f ca="1">INT((TODAY()-F58)/30.417)</f>
        <v>101</v>
      </c>
      <c r="K58" s="13">
        <f t="shared" ca="1" si="0"/>
        <v>0</v>
      </c>
      <c r="L58" s="8">
        <f>G58*3.7%</f>
        <v>185000.00000000003</v>
      </c>
      <c r="M58" s="8">
        <f>G58*2%</f>
        <v>100000</v>
      </c>
      <c r="N58" s="8">
        <f>G58*4%</f>
        <v>200000</v>
      </c>
      <c r="O58" s="8">
        <f>G58*1%</f>
        <v>50000</v>
      </c>
      <c r="P58">
        <v>7</v>
      </c>
      <c r="Q58" s="13">
        <f>P58*200000</f>
        <v>1400000</v>
      </c>
      <c r="R58" s="8">
        <v>3000000</v>
      </c>
      <c r="S58" s="9">
        <f>8%*G58</f>
        <v>400000</v>
      </c>
    </row>
    <row r="59" spans="1:19" x14ac:dyDescent="0.3">
      <c r="A59">
        <v>57</v>
      </c>
      <c r="B59" s="10" t="s">
        <v>161</v>
      </c>
      <c r="C59" s="10" t="s">
        <v>162</v>
      </c>
      <c r="D59" s="11" t="str">
        <f>VLOOKUP(MID(B59,6,1),'Tabel Acuan'!$A$10:$B$17,2,0)</f>
        <v>Information Technology (IT)</v>
      </c>
      <c r="E59" t="str">
        <f>VLOOKUP(MID(B59,8,2),'Tabel Acuan'!$A$1:$B$6,2,0)</f>
        <v>Senior Staff</v>
      </c>
      <c r="F59" s="12">
        <v>42469</v>
      </c>
      <c r="G59" s="8" cm="1">
        <f t="array" ref="G59">INDEX('Tabel Acuan'!$F$4:$F$39,
MATCH(1,('Tabel Acuan'!$D$4:$D$39='Data Gaji Pegawai'!D59)*('Tabel Acuan'!$E$4:$E$39='Data Gaji Pegawai'!E59),0))</f>
        <v>7500000</v>
      </c>
      <c r="H59">
        <f>I59/100000</f>
        <v>45</v>
      </c>
      <c r="I59" s="14">
        <v>4500000</v>
      </c>
      <c r="J59">
        <f ca="1">INT((TODAY()-F59)/30.417)</f>
        <v>122</v>
      </c>
      <c r="K59" s="13">
        <f t="shared" ca="1" si="0"/>
        <v>0</v>
      </c>
      <c r="L59" s="8">
        <f>G59*3.7%</f>
        <v>277500.00000000006</v>
      </c>
      <c r="M59" s="8">
        <f>G59*2%</f>
        <v>150000</v>
      </c>
      <c r="N59" s="8">
        <f>G59*4%</f>
        <v>300000</v>
      </c>
      <c r="O59" s="8">
        <f>G59*1%</f>
        <v>75000</v>
      </c>
      <c r="P59">
        <v>12</v>
      </c>
      <c r="Q59" s="13">
        <f>P59*200000</f>
        <v>2400000</v>
      </c>
      <c r="R59" s="8">
        <v>750000</v>
      </c>
      <c r="S59" s="9">
        <f>8%*G59</f>
        <v>600000</v>
      </c>
    </row>
    <row r="60" spans="1:19" x14ac:dyDescent="0.3">
      <c r="A60">
        <v>58</v>
      </c>
      <c r="B60" s="10" t="s">
        <v>163</v>
      </c>
      <c r="C60" s="10" t="s">
        <v>164</v>
      </c>
      <c r="D60" s="11" t="str">
        <f>VLOOKUP(MID(B60,6,1),'Tabel Acuan'!$A$10:$B$17,2,0)</f>
        <v>Sales</v>
      </c>
      <c r="E60" t="str">
        <f>VLOOKUP(MID(B60,8,2),'Tabel Acuan'!$A$1:$B$6,2,0)</f>
        <v>Supervisor</v>
      </c>
      <c r="F60" s="12">
        <v>42790</v>
      </c>
      <c r="G60" s="8" cm="1">
        <f t="array" ref="G60">INDEX('Tabel Acuan'!$F$4:$F$39,
MATCH(1,('Tabel Acuan'!$D$4:$D$39='Data Gaji Pegawai'!D60)*('Tabel Acuan'!$E$4:$E$39='Data Gaji Pegawai'!E60),0))</f>
        <v>7500000</v>
      </c>
      <c r="H60">
        <f>I60/100000</f>
        <v>49</v>
      </c>
      <c r="I60" s="14">
        <v>4900000</v>
      </c>
      <c r="J60">
        <f ca="1">INT((TODAY()-F60)/30.417)</f>
        <v>112</v>
      </c>
      <c r="K60" s="13">
        <f t="shared" ca="1" si="0"/>
        <v>0</v>
      </c>
      <c r="L60" s="8">
        <f>G60*3.7%</f>
        <v>277500.00000000006</v>
      </c>
      <c r="M60" s="8">
        <f>G60*2%</f>
        <v>150000</v>
      </c>
      <c r="N60" s="8">
        <f>G60*4%</f>
        <v>300000</v>
      </c>
      <c r="O60" s="8">
        <f>G60*1%</f>
        <v>75000</v>
      </c>
      <c r="P60">
        <v>13</v>
      </c>
      <c r="Q60" s="13">
        <f>P60*200000</f>
        <v>2600000</v>
      </c>
      <c r="R60" s="8">
        <v>0</v>
      </c>
      <c r="S60" s="9">
        <f>8%*G60</f>
        <v>600000</v>
      </c>
    </row>
    <row r="61" spans="1:19" x14ac:dyDescent="0.3">
      <c r="A61">
        <v>59</v>
      </c>
      <c r="B61" s="10" t="s">
        <v>165</v>
      </c>
      <c r="C61" s="10" t="s">
        <v>166</v>
      </c>
      <c r="D61" s="11" t="str">
        <f>VLOOKUP(MID(B61,6,1),'Tabel Acuan'!$A$10:$B$17,2,0)</f>
        <v>Information Technology (IT)</v>
      </c>
      <c r="E61" t="str">
        <f>VLOOKUP(MID(B61,8,2),'Tabel Acuan'!$A$1:$B$6,2,0)</f>
        <v>Staff</v>
      </c>
      <c r="F61" s="12">
        <v>45160</v>
      </c>
      <c r="G61" s="8" cm="1">
        <f t="array" ref="G61">INDEX('Tabel Acuan'!$F$4:$F$39,
MATCH(1,('Tabel Acuan'!$D$4:$D$39='Data Gaji Pegawai'!D61)*('Tabel Acuan'!$E$4:$E$39='Data Gaji Pegawai'!E61),0))</f>
        <v>6000000</v>
      </c>
      <c r="H61">
        <f>I61/100000</f>
        <v>8</v>
      </c>
      <c r="I61" s="14">
        <v>800000</v>
      </c>
      <c r="J61">
        <f ca="1">INT((TODAY()-F61)/30.417)</f>
        <v>34</v>
      </c>
      <c r="K61" s="13">
        <f t="shared" ca="1" si="0"/>
        <v>0</v>
      </c>
      <c r="L61" s="8">
        <f>G61*3.7%</f>
        <v>222000.00000000003</v>
      </c>
      <c r="M61" s="8">
        <f>G61*2%</f>
        <v>120000</v>
      </c>
      <c r="N61" s="8">
        <f>G61*4%</f>
        <v>240000</v>
      </c>
      <c r="O61" s="8">
        <f>G61*1%</f>
        <v>60000</v>
      </c>
      <c r="P61">
        <v>14</v>
      </c>
      <c r="Q61" s="13">
        <f>P61*200000</f>
        <v>2800000</v>
      </c>
      <c r="R61" s="8">
        <v>2500000</v>
      </c>
      <c r="S61" s="9">
        <f>8%*G61</f>
        <v>480000</v>
      </c>
    </row>
    <row r="62" spans="1:19" x14ac:dyDescent="0.3">
      <c r="A62">
        <v>60</v>
      </c>
      <c r="B62" s="10" t="s">
        <v>167</v>
      </c>
      <c r="C62" s="10" t="s">
        <v>168</v>
      </c>
      <c r="D62" s="11" t="str">
        <f>VLOOKUP(MID(B62,6,1),'Tabel Acuan'!$A$10:$B$17,2,0)</f>
        <v>Logistics</v>
      </c>
      <c r="E62" t="str">
        <f>VLOOKUP(MID(B62,8,2),'Tabel Acuan'!$A$1:$B$6,2,0)</f>
        <v>Manager</v>
      </c>
      <c r="F62" s="12">
        <v>45550</v>
      </c>
      <c r="G62" s="8" cm="1">
        <f t="array" ref="G62">INDEX('Tabel Acuan'!$F$4:$F$39,
MATCH(1,('Tabel Acuan'!$D$4:$D$39='Data Gaji Pegawai'!D62)*('Tabel Acuan'!$E$4:$E$39='Data Gaji Pegawai'!E62),0))</f>
        <v>12500000</v>
      </c>
      <c r="H62">
        <f>I62/100000</f>
        <v>27</v>
      </c>
      <c r="I62" s="14">
        <v>2700000</v>
      </c>
      <c r="J62">
        <f ca="1">INT((TODAY()-F62)/30.417)</f>
        <v>21</v>
      </c>
      <c r="K62" s="13">
        <f t="shared" ca="1" si="0"/>
        <v>0</v>
      </c>
      <c r="L62" s="8">
        <f>G62*3.7%</f>
        <v>462500.00000000006</v>
      </c>
      <c r="M62" s="8">
        <f>G62*2%</f>
        <v>250000</v>
      </c>
      <c r="N62" s="8">
        <f>G62*4%</f>
        <v>500000</v>
      </c>
      <c r="O62" s="8">
        <f>G62*1%</f>
        <v>125000</v>
      </c>
      <c r="P62">
        <v>14</v>
      </c>
      <c r="Q62" s="13">
        <f>P62*200000</f>
        <v>2800000</v>
      </c>
      <c r="R62" s="8">
        <v>4000000</v>
      </c>
      <c r="S62" s="9">
        <f>8%*G62</f>
        <v>1000000</v>
      </c>
    </row>
    <row r="63" spans="1:19" x14ac:dyDescent="0.3">
      <c r="A63">
        <v>61</v>
      </c>
      <c r="B63" s="10" t="s">
        <v>169</v>
      </c>
      <c r="C63" s="10" t="s">
        <v>170</v>
      </c>
      <c r="D63" s="11" t="str">
        <f>VLOOKUP(MID(B63,6,1),'Tabel Acuan'!$A$10:$B$17,2,0)</f>
        <v>Information Technology (IT)</v>
      </c>
      <c r="E63" t="str">
        <f>VLOOKUP(MID(B63,8,2),'Tabel Acuan'!$A$1:$B$6,2,0)</f>
        <v>Staff</v>
      </c>
      <c r="F63" s="12">
        <v>44703</v>
      </c>
      <c r="G63" s="8" cm="1">
        <f t="array" ref="G63">INDEX('Tabel Acuan'!$F$4:$F$39,
MATCH(1,('Tabel Acuan'!$D$4:$D$39='Data Gaji Pegawai'!D63)*('Tabel Acuan'!$E$4:$E$39='Data Gaji Pegawai'!E63),0))</f>
        <v>6000000</v>
      </c>
      <c r="H63">
        <f>I63/100000</f>
        <v>49</v>
      </c>
      <c r="I63" s="14">
        <v>4900000</v>
      </c>
      <c r="J63">
        <f ca="1">INT((TODAY()-F63)/30.417)</f>
        <v>49</v>
      </c>
      <c r="K63" s="13">
        <f t="shared" ca="1" si="0"/>
        <v>0</v>
      </c>
      <c r="L63" s="8">
        <f>G63*3.7%</f>
        <v>222000.00000000003</v>
      </c>
      <c r="M63" s="8">
        <f>G63*2%</f>
        <v>120000</v>
      </c>
      <c r="N63" s="8">
        <f>G63*4%</f>
        <v>240000</v>
      </c>
      <c r="O63" s="8">
        <f>G63*1%</f>
        <v>60000</v>
      </c>
      <c r="P63">
        <v>15</v>
      </c>
      <c r="Q63" s="13">
        <f>P63*200000</f>
        <v>3000000</v>
      </c>
      <c r="R63" s="8">
        <v>1000000</v>
      </c>
      <c r="S63" s="9">
        <f>8%*G63</f>
        <v>480000</v>
      </c>
    </row>
    <row r="64" spans="1:19" x14ac:dyDescent="0.3">
      <c r="A64">
        <v>62</v>
      </c>
      <c r="B64" s="10" t="s">
        <v>171</v>
      </c>
      <c r="C64" s="10" t="s">
        <v>172</v>
      </c>
      <c r="D64" s="11" t="str">
        <f>VLOOKUP(MID(B64,6,1),'Tabel Acuan'!$A$10:$B$17,2,0)</f>
        <v>Human Resources (HR)</v>
      </c>
      <c r="E64" t="str">
        <f>VLOOKUP(MID(B64,8,2),'Tabel Acuan'!$A$1:$B$6,2,0)</f>
        <v>Supervisor</v>
      </c>
      <c r="F64" s="12">
        <v>44733</v>
      </c>
      <c r="G64" s="8" cm="1">
        <f t="array" ref="G64">INDEX('Tabel Acuan'!$F$4:$F$39,
MATCH(1,('Tabel Acuan'!$D$4:$D$39='Data Gaji Pegawai'!D64)*('Tabel Acuan'!$E$4:$E$39='Data Gaji Pegawai'!E64),0))</f>
        <v>7250000</v>
      </c>
      <c r="H64">
        <f>I64/100000</f>
        <v>20</v>
      </c>
      <c r="I64" s="14">
        <v>2000000</v>
      </c>
      <c r="J64">
        <f ca="1">INT((TODAY()-F64)/30.417)</f>
        <v>48</v>
      </c>
      <c r="K64" s="13">
        <f t="shared" ca="1" si="0"/>
        <v>0</v>
      </c>
      <c r="L64" s="8">
        <f>G64*3.7%</f>
        <v>268250.00000000006</v>
      </c>
      <c r="M64" s="8">
        <f>G64*2%</f>
        <v>145000</v>
      </c>
      <c r="N64" s="8">
        <f>G64*4%</f>
        <v>290000</v>
      </c>
      <c r="O64" s="8">
        <f>G64*1%</f>
        <v>72500</v>
      </c>
      <c r="P64">
        <v>2</v>
      </c>
      <c r="Q64" s="13">
        <f>P64*200000</f>
        <v>400000</v>
      </c>
      <c r="R64" s="8">
        <v>0</v>
      </c>
      <c r="S64" s="9">
        <f>8%*G64</f>
        <v>580000</v>
      </c>
    </row>
    <row r="65" spans="1:19" x14ac:dyDescent="0.3">
      <c r="A65">
        <v>63</v>
      </c>
      <c r="B65" s="10" t="s">
        <v>173</v>
      </c>
      <c r="C65" s="10" t="s">
        <v>174</v>
      </c>
      <c r="D65" s="11" t="str">
        <f>VLOOKUP(MID(B65,6,1),'Tabel Acuan'!$A$10:$B$17,2,0)</f>
        <v>Information Technology (IT)</v>
      </c>
      <c r="E65" t="str">
        <f>VLOOKUP(MID(B65,8,2),'Tabel Acuan'!$A$1:$B$6,2,0)</f>
        <v>Supervisor</v>
      </c>
      <c r="F65" s="12">
        <v>43133</v>
      </c>
      <c r="G65" s="8" cm="1">
        <f t="array" ref="G65">INDEX('Tabel Acuan'!$F$4:$F$39,
MATCH(1,('Tabel Acuan'!$D$4:$D$39='Data Gaji Pegawai'!D65)*('Tabel Acuan'!$E$4:$E$39='Data Gaji Pegawai'!E65),0))</f>
        <v>9000000</v>
      </c>
      <c r="H65">
        <f>I65/100000</f>
        <v>26</v>
      </c>
      <c r="I65" s="14">
        <v>2600000</v>
      </c>
      <c r="J65">
        <f ca="1">INT((TODAY()-F65)/30.417)</f>
        <v>100</v>
      </c>
      <c r="K65" s="13">
        <f t="shared" ca="1" si="0"/>
        <v>0</v>
      </c>
      <c r="L65" s="8">
        <f>G65*3.7%</f>
        <v>333000.00000000006</v>
      </c>
      <c r="M65" s="8">
        <f>G65*2%</f>
        <v>180000</v>
      </c>
      <c r="N65" s="8">
        <f>G65*4%</f>
        <v>360000</v>
      </c>
      <c r="O65" s="8">
        <f>G65*1%</f>
        <v>90000</v>
      </c>
      <c r="P65">
        <v>13</v>
      </c>
      <c r="Q65" s="13">
        <f>P65*200000</f>
        <v>2600000</v>
      </c>
      <c r="R65" s="8">
        <v>0</v>
      </c>
      <c r="S65" s="9">
        <f>8%*G65</f>
        <v>720000</v>
      </c>
    </row>
    <row r="66" spans="1:19" x14ac:dyDescent="0.3">
      <c r="A66">
        <v>64</v>
      </c>
      <c r="B66" s="10" t="s">
        <v>175</v>
      </c>
      <c r="C66" s="10" t="s">
        <v>176</v>
      </c>
      <c r="D66" s="11" t="str">
        <f>VLOOKUP(MID(B66,6,1),'Tabel Acuan'!$A$10:$B$17,2,0)</f>
        <v>Information Technology (IT)</v>
      </c>
      <c r="E66" t="str">
        <f>VLOOKUP(MID(B66,8,2),'Tabel Acuan'!$A$1:$B$6,2,0)</f>
        <v>Staff</v>
      </c>
      <c r="F66" s="12">
        <v>44861</v>
      </c>
      <c r="G66" s="8" cm="1">
        <f t="array" ref="G66">INDEX('Tabel Acuan'!$F$4:$F$39,
MATCH(1,('Tabel Acuan'!$D$4:$D$39='Data Gaji Pegawai'!D66)*('Tabel Acuan'!$E$4:$E$39='Data Gaji Pegawai'!E66),0))</f>
        <v>6000000</v>
      </c>
      <c r="H66">
        <f>I66/100000</f>
        <v>60</v>
      </c>
      <c r="I66" s="14">
        <v>6000000</v>
      </c>
      <c r="J66">
        <f ca="1">INT((TODAY()-F66)/30.417)</f>
        <v>44</v>
      </c>
      <c r="K66" s="13">
        <f t="shared" ca="1" si="0"/>
        <v>0</v>
      </c>
      <c r="L66" s="8">
        <f>G66*3.7%</f>
        <v>222000.00000000003</v>
      </c>
      <c r="M66" s="8">
        <f>G66*2%</f>
        <v>120000</v>
      </c>
      <c r="N66" s="8">
        <f>G66*4%</f>
        <v>240000</v>
      </c>
      <c r="O66" s="8">
        <f>G66*1%</f>
        <v>60000</v>
      </c>
      <c r="P66">
        <v>0</v>
      </c>
      <c r="Q66" s="13">
        <f>P66*200000</f>
        <v>0</v>
      </c>
      <c r="R66" s="8">
        <v>5000000</v>
      </c>
      <c r="S66" s="9">
        <f>8%*G66</f>
        <v>480000</v>
      </c>
    </row>
    <row r="67" spans="1:19" x14ac:dyDescent="0.3">
      <c r="A67">
        <v>65</v>
      </c>
      <c r="B67" s="10" t="s">
        <v>177</v>
      </c>
      <c r="C67" s="10" t="s">
        <v>178</v>
      </c>
      <c r="D67" s="11" t="str">
        <f>VLOOKUP(MID(B67,6,1),'Tabel Acuan'!$A$10:$B$17,2,0)</f>
        <v>Information Technology (IT)</v>
      </c>
      <c r="E67" t="str">
        <f>VLOOKUP(MID(B67,8,2),'Tabel Acuan'!$A$1:$B$6,2,0)</f>
        <v>Senior Staff</v>
      </c>
      <c r="F67" s="12">
        <v>45491</v>
      </c>
      <c r="G67" s="8" cm="1">
        <f t="array" ref="G67">INDEX('Tabel Acuan'!$F$4:$F$39,
MATCH(1,('Tabel Acuan'!$D$4:$D$39='Data Gaji Pegawai'!D67)*('Tabel Acuan'!$E$4:$E$39='Data Gaji Pegawai'!E67),0))</f>
        <v>7500000</v>
      </c>
      <c r="H67">
        <f>I67/100000</f>
        <v>54</v>
      </c>
      <c r="I67" s="14">
        <v>5400000</v>
      </c>
      <c r="J67">
        <f ca="1">INT((TODAY()-F67)/30.417)</f>
        <v>23</v>
      </c>
      <c r="K67" s="13">
        <f t="shared" ca="1" si="0"/>
        <v>0</v>
      </c>
      <c r="L67" s="8">
        <f>G67*3.7%</f>
        <v>277500.00000000006</v>
      </c>
      <c r="M67" s="8">
        <f>G67*2%</f>
        <v>150000</v>
      </c>
      <c r="N67" s="8">
        <f>G67*4%</f>
        <v>300000</v>
      </c>
      <c r="O67" s="8">
        <f>G67*1%</f>
        <v>75000</v>
      </c>
      <c r="P67">
        <v>13</v>
      </c>
      <c r="Q67" s="13">
        <f>P67*200000</f>
        <v>2600000</v>
      </c>
      <c r="R67" s="8">
        <v>4000000</v>
      </c>
      <c r="S67" s="9">
        <f>8%*G67</f>
        <v>600000</v>
      </c>
    </row>
    <row r="68" spans="1:19" x14ac:dyDescent="0.3">
      <c r="A68">
        <v>66</v>
      </c>
      <c r="B68" s="10" t="s">
        <v>179</v>
      </c>
      <c r="C68" s="10" t="s">
        <v>180</v>
      </c>
      <c r="D68" s="11" t="str">
        <f>VLOOKUP(MID(B68,6,1),'Tabel Acuan'!$A$10:$B$17,2,0)</f>
        <v>Operations</v>
      </c>
      <c r="E68" t="str">
        <f>VLOOKUP(MID(B68,8,2),'Tabel Acuan'!$A$1:$B$6,2,0)</f>
        <v>Senior Staff</v>
      </c>
      <c r="F68" s="12">
        <v>45039</v>
      </c>
      <c r="G68" s="8" cm="1">
        <f t="array" ref="G68">INDEX('Tabel Acuan'!$F$4:$F$39,
MATCH(1,('Tabel Acuan'!$D$4:$D$39='Data Gaji Pegawai'!D68)*('Tabel Acuan'!$E$4:$E$39='Data Gaji Pegawai'!E68),0))</f>
        <v>6300000</v>
      </c>
      <c r="H68">
        <f>I68/100000</f>
        <v>17</v>
      </c>
      <c r="I68" s="14">
        <v>1700000</v>
      </c>
      <c r="J68">
        <f ca="1">INT((TODAY()-F68)/30.417)</f>
        <v>38</v>
      </c>
      <c r="K68" s="13">
        <f t="shared" ref="K68:K131" ca="1" si="1">IF(MONTH(TODAY())=12, IF(J68&gt;=12,G68,G68*(J68/12)), 0)</f>
        <v>0</v>
      </c>
      <c r="L68" s="8">
        <f>G68*3.7%</f>
        <v>233100.00000000003</v>
      </c>
      <c r="M68" s="8">
        <f>G68*2%</f>
        <v>126000</v>
      </c>
      <c r="N68" s="8">
        <f>G68*4%</f>
        <v>252000</v>
      </c>
      <c r="O68" s="8">
        <f>G68*1%</f>
        <v>63000</v>
      </c>
      <c r="P68">
        <v>13</v>
      </c>
      <c r="Q68" s="13">
        <f>P68*200000</f>
        <v>2600000</v>
      </c>
      <c r="R68" s="8">
        <v>1500000</v>
      </c>
      <c r="S68" s="9">
        <f>8%*G68</f>
        <v>504000</v>
      </c>
    </row>
    <row r="69" spans="1:19" x14ac:dyDescent="0.3">
      <c r="A69">
        <v>67</v>
      </c>
      <c r="B69" s="10" t="s">
        <v>181</v>
      </c>
      <c r="C69" s="10" t="s">
        <v>182</v>
      </c>
      <c r="D69" s="11" t="str">
        <f>VLOOKUP(MID(B69,6,1),'Tabel Acuan'!$A$10:$B$17,2,0)</f>
        <v>Sales</v>
      </c>
      <c r="E69" t="str">
        <f>VLOOKUP(MID(B69,8,2),'Tabel Acuan'!$A$1:$B$6,2,0)</f>
        <v>Senior Staff</v>
      </c>
      <c r="F69" s="12">
        <v>43915</v>
      </c>
      <c r="G69" s="8" cm="1">
        <f t="array" ref="G69">INDEX('Tabel Acuan'!$F$4:$F$39,
MATCH(1,('Tabel Acuan'!$D$4:$D$39='Data Gaji Pegawai'!D69)*('Tabel Acuan'!$E$4:$E$39='Data Gaji Pegawai'!E69),0))</f>
        <v>6000000</v>
      </c>
      <c r="H69">
        <f>I69/100000</f>
        <v>53</v>
      </c>
      <c r="I69" s="14">
        <v>5300000</v>
      </c>
      <c r="J69">
        <f ca="1">INT((TODAY()-F69)/30.417)</f>
        <v>75</v>
      </c>
      <c r="K69" s="13">
        <f t="shared" ca="1" si="1"/>
        <v>0</v>
      </c>
      <c r="L69" s="8">
        <f>G69*3.7%</f>
        <v>222000.00000000003</v>
      </c>
      <c r="M69" s="8">
        <f>G69*2%</f>
        <v>120000</v>
      </c>
      <c r="N69" s="8">
        <f>G69*4%</f>
        <v>240000</v>
      </c>
      <c r="O69" s="8">
        <f>G69*1%</f>
        <v>60000</v>
      </c>
      <c r="P69">
        <v>14</v>
      </c>
      <c r="Q69" s="13">
        <f>P69*200000</f>
        <v>2800000</v>
      </c>
      <c r="R69" s="8">
        <v>3000000</v>
      </c>
      <c r="S69" s="9">
        <f>8%*G69</f>
        <v>480000</v>
      </c>
    </row>
    <row r="70" spans="1:19" x14ac:dyDescent="0.3">
      <c r="A70">
        <v>68</v>
      </c>
      <c r="B70" s="10" t="s">
        <v>183</v>
      </c>
      <c r="C70" s="10" t="s">
        <v>184</v>
      </c>
      <c r="D70" s="11" t="str">
        <f>VLOOKUP(MID(B70,6,1),'Tabel Acuan'!$A$10:$B$17,2,0)</f>
        <v>Human Resources (HR)</v>
      </c>
      <c r="E70" t="str">
        <f>VLOOKUP(MID(B70,8,2),'Tabel Acuan'!$A$1:$B$6,2,0)</f>
        <v>Assistant Manager</v>
      </c>
      <c r="F70" s="12">
        <v>45266</v>
      </c>
      <c r="G70" s="8" cm="1">
        <f t="array" ref="G70">INDEX('Tabel Acuan'!$F$4:$F$39,
MATCH(1,('Tabel Acuan'!$D$4:$D$39='Data Gaji Pegawai'!D70)*('Tabel Acuan'!$E$4:$E$39='Data Gaji Pegawai'!E70),0))</f>
        <v>9000000</v>
      </c>
      <c r="H70">
        <f>I70/100000</f>
        <v>1</v>
      </c>
      <c r="I70" s="14">
        <v>100000</v>
      </c>
      <c r="J70">
        <f ca="1">INT((TODAY()-F70)/30.417)</f>
        <v>30</v>
      </c>
      <c r="K70" s="13">
        <f t="shared" ca="1" si="1"/>
        <v>0</v>
      </c>
      <c r="L70" s="8">
        <f>G70*3.7%</f>
        <v>333000.00000000006</v>
      </c>
      <c r="M70" s="8">
        <f>G70*2%</f>
        <v>180000</v>
      </c>
      <c r="N70" s="8">
        <f>G70*4%</f>
        <v>360000</v>
      </c>
      <c r="O70" s="8">
        <f>G70*1%</f>
        <v>90000</v>
      </c>
      <c r="P70">
        <v>2</v>
      </c>
      <c r="Q70" s="13">
        <f>P70*200000</f>
        <v>400000</v>
      </c>
      <c r="R70" s="8">
        <v>500000</v>
      </c>
      <c r="S70" s="9">
        <f>8%*G70</f>
        <v>720000</v>
      </c>
    </row>
    <row r="71" spans="1:19" x14ac:dyDescent="0.3">
      <c r="A71">
        <v>69</v>
      </c>
      <c r="B71" s="10" t="s">
        <v>185</v>
      </c>
      <c r="C71" s="10" t="s">
        <v>186</v>
      </c>
      <c r="D71" s="11" t="str">
        <f>VLOOKUP(MID(B71,6,1),'Tabel Acuan'!$A$10:$B$17,2,0)</f>
        <v>Finance</v>
      </c>
      <c r="E71" t="str">
        <f>VLOOKUP(MID(B71,8,2),'Tabel Acuan'!$A$1:$B$6,2,0)</f>
        <v>Staff</v>
      </c>
      <c r="F71" s="12">
        <v>44670</v>
      </c>
      <c r="G71" s="8" cm="1">
        <f t="array" ref="G71">INDEX('Tabel Acuan'!$F$4:$F$39,
MATCH(1,('Tabel Acuan'!$D$4:$D$39='Data Gaji Pegawai'!D71)*('Tabel Acuan'!$E$4:$E$39='Data Gaji Pegawai'!E71),0))</f>
        <v>5500000</v>
      </c>
      <c r="H71">
        <f>I71/100000</f>
        <v>29</v>
      </c>
      <c r="I71" s="14">
        <v>2900000</v>
      </c>
      <c r="J71">
        <f ca="1">INT((TODAY()-F71)/30.417)</f>
        <v>50</v>
      </c>
      <c r="K71" s="13">
        <f t="shared" ca="1" si="1"/>
        <v>0</v>
      </c>
      <c r="L71" s="8">
        <f>G71*3.7%</f>
        <v>203500.00000000003</v>
      </c>
      <c r="M71" s="8">
        <f>G71*2%</f>
        <v>110000</v>
      </c>
      <c r="N71" s="8">
        <f>G71*4%</f>
        <v>220000</v>
      </c>
      <c r="O71" s="8">
        <f>G71*1%</f>
        <v>55000</v>
      </c>
      <c r="P71">
        <v>10</v>
      </c>
      <c r="Q71" s="13">
        <f>P71*200000</f>
        <v>2000000</v>
      </c>
      <c r="R71" s="8">
        <v>0</v>
      </c>
      <c r="S71" s="9">
        <f>8%*G71</f>
        <v>440000</v>
      </c>
    </row>
    <row r="72" spans="1:19" x14ac:dyDescent="0.3">
      <c r="A72">
        <v>70</v>
      </c>
      <c r="B72" s="10" t="s">
        <v>187</v>
      </c>
      <c r="C72" s="10" t="s">
        <v>188</v>
      </c>
      <c r="D72" s="11" t="str">
        <f>VLOOKUP(MID(B72,6,1),'Tabel Acuan'!$A$10:$B$17,2,0)</f>
        <v>Logistics</v>
      </c>
      <c r="E72" t="str">
        <f>VLOOKUP(MID(B72,8,2),'Tabel Acuan'!$A$1:$B$6,2,0)</f>
        <v>Supervisor</v>
      </c>
      <c r="F72" s="12">
        <v>44238</v>
      </c>
      <c r="G72" s="8" cm="1">
        <f t="array" ref="G72">INDEX('Tabel Acuan'!$F$4:$F$39,
MATCH(1,('Tabel Acuan'!$D$4:$D$39='Data Gaji Pegawai'!D72)*('Tabel Acuan'!$E$4:$E$39='Data Gaji Pegawai'!E72),0))</f>
        <v>7500000</v>
      </c>
      <c r="H72">
        <f>I72/100000</f>
        <v>30</v>
      </c>
      <c r="I72" s="14">
        <v>3000000</v>
      </c>
      <c r="J72">
        <f ca="1">INT((TODAY()-F72)/30.417)</f>
        <v>64</v>
      </c>
      <c r="K72" s="13">
        <f t="shared" ca="1" si="1"/>
        <v>0</v>
      </c>
      <c r="L72" s="8">
        <f>G72*3.7%</f>
        <v>277500.00000000006</v>
      </c>
      <c r="M72" s="8">
        <f>G72*2%</f>
        <v>150000</v>
      </c>
      <c r="N72" s="8">
        <f>G72*4%</f>
        <v>300000</v>
      </c>
      <c r="O72" s="8">
        <f>G72*1%</f>
        <v>75000</v>
      </c>
      <c r="P72">
        <v>0</v>
      </c>
      <c r="Q72" s="13">
        <f>P72*200000</f>
        <v>0</v>
      </c>
      <c r="R72" s="8">
        <v>250000</v>
      </c>
      <c r="S72" s="9">
        <f>8%*G72</f>
        <v>600000</v>
      </c>
    </row>
    <row r="73" spans="1:19" x14ac:dyDescent="0.3">
      <c r="A73">
        <v>71</v>
      </c>
      <c r="B73" s="10" t="s">
        <v>189</v>
      </c>
      <c r="C73" s="10" t="s">
        <v>190</v>
      </c>
      <c r="D73" s="11" t="str">
        <f>VLOOKUP(MID(B73,6,1),'Tabel Acuan'!$A$10:$B$17,2,0)</f>
        <v>Finance</v>
      </c>
      <c r="E73" t="str">
        <f>VLOOKUP(MID(B73,8,2),'Tabel Acuan'!$A$1:$B$6,2,0)</f>
        <v>Senior Staff</v>
      </c>
      <c r="F73" s="12">
        <v>43851</v>
      </c>
      <c r="G73" s="8" cm="1">
        <f t="array" ref="G73">INDEX('Tabel Acuan'!$F$4:$F$39,
MATCH(1,('Tabel Acuan'!$D$4:$D$39='Data Gaji Pegawai'!D73)*('Tabel Acuan'!$E$4:$E$39='Data Gaji Pegawai'!E73),0))</f>
        <v>6600000</v>
      </c>
      <c r="H73">
        <f>I73/100000</f>
        <v>48</v>
      </c>
      <c r="I73" s="14">
        <v>4800000</v>
      </c>
      <c r="J73">
        <f ca="1">INT((TODAY()-F73)/30.417)</f>
        <v>77</v>
      </c>
      <c r="K73" s="13">
        <f t="shared" ca="1" si="1"/>
        <v>0</v>
      </c>
      <c r="L73" s="8">
        <f>G73*3.7%</f>
        <v>244200.00000000003</v>
      </c>
      <c r="M73" s="8">
        <f>G73*2%</f>
        <v>132000</v>
      </c>
      <c r="N73" s="8">
        <f>G73*4%</f>
        <v>264000</v>
      </c>
      <c r="O73" s="8">
        <f>G73*1%</f>
        <v>66000</v>
      </c>
      <c r="P73">
        <v>0</v>
      </c>
      <c r="Q73" s="13">
        <f>P73*200000</f>
        <v>0</v>
      </c>
      <c r="R73" s="8">
        <v>750000</v>
      </c>
      <c r="S73" s="9">
        <f>8%*G73</f>
        <v>528000</v>
      </c>
    </row>
    <row r="74" spans="1:19" x14ac:dyDescent="0.3">
      <c r="A74">
        <v>72</v>
      </c>
      <c r="B74" s="10" t="s">
        <v>191</v>
      </c>
      <c r="C74" s="10" t="s">
        <v>192</v>
      </c>
      <c r="D74" s="11" t="str">
        <f>VLOOKUP(MID(B74,6,1),'Tabel Acuan'!$A$10:$B$17,2,0)</f>
        <v>Marketing</v>
      </c>
      <c r="E74" t="str">
        <f>VLOOKUP(MID(B74,8,2),'Tabel Acuan'!$A$1:$B$6,2,0)</f>
        <v>Staff</v>
      </c>
      <c r="F74" s="12">
        <v>42347</v>
      </c>
      <c r="G74" s="8" cm="1">
        <f t="array" ref="G74">INDEX('Tabel Acuan'!$F$4:$F$39,
MATCH(1,('Tabel Acuan'!$D$4:$D$39='Data Gaji Pegawai'!D74)*('Tabel Acuan'!$E$4:$E$39='Data Gaji Pegawai'!E74),0))</f>
        <v>5300000</v>
      </c>
      <c r="H74">
        <f>I74/100000</f>
        <v>7</v>
      </c>
      <c r="I74" s="14">
        <v>700000</v>
      </c>
      <c r="J74">
        <f ca="1">INT((TODAY()-F74)/30.417)</f>
        <v>126</v>
      </c>
      <c r="K74" s="13">
        <f t="shared" ca="1" si="1"/>
        <v>0</v>
      </c>
      <c r="L74" s="8">
        <f>G74*3.7%</f>
        <v>196100.00000000003</v>
      </c>
      <c r="M74" s="8">
        <f>G74*2%</f>
        <v>106000</v>
      </c>
      <c r="N74" s="8">
        <f>G74*4%</f>
        <v>212000</v>
      </c>
      <c r="O74" s="8">
        <f>G74*1%</f>
        <v>53000</v>
      </c>
      <c r="P74">
        <v>6</v>
      </c>
      <c r="Q74" s="13">
        <f>P74*200000</f>
        <v>1200000</v>
      </c>
      <c r="R74" s="8">
        <v>1000000</v>
      </c>
      <c r="S74" s="9">
        <f>8%*G74</f>
        <v>424000</v>
      </c>
    </row>
    <row r="75" spans="1:19" x14ac:dyDescent="0.3">
      <c r="A75">
        <v>73</v>
      </c>
      <c r="B75" s="10" t="s">
        <v>193</v>
      </c>
      <c r="C75" s="10" t="s">
        <v>194</v>
      </c>
      <c r="D75" s="11" t="str">
        <f>VLOOKUP(MID(B75,6,1),'Tabel Acuan'!$A$10:$B$17,2,0)</f>
        <v>Finance</v>
      </c>
      <c r="E75" t="str">
        <f>VLOOKUP(MID(B75,8,2),'Tabel Acuan'!$A$1:$B$6,2,0)</f>
        <v>Senior Staff</v>
      </c>
      <c r="F75" s="12">
        <v>43889</v>
      </c>
      <c r="G75" s="8" cm="1">
        <f t="array" ref="G75">INDEX('Tabel Acuan'!$F$4:$F$39,
MATCH(1,('Tabel Acuan'!$D$4:$D$39='Data Gaji Pegawai'!D75)*('Tabel Acuan'!$E$4:$E$39='Data Gaji Pegawai'!E75),0))</f>
        <v>6600000</v>
      </c>
      <c r="H75">
        <f>I75/100000</f>
        <v>49</v>
      </c>
      <c r="I75" s="14">
        <v>4900000</v>
      </c>
      <c r="J75">
        <f ca="1">INT((TODAY()-F75)/30.417)</f>
        <v>76</v>
      </c>
      <c r="K75" s="13">
        <f t="shared" ca="1" si="1"/>
        <v>0</v>
      </c>
      <c r="L75" s="8">
        <f>G75*3.7%</f>
        <v>244200.00000000003</v>
      </c>
      <c r="M75" s="8">
        <f>G75*2%</f>
        <v>132000</v>
      </c>
      <c r="N75" s="8">
        <f>G75*4%</f>
        <v>264000</v>
      </c>
      <c r="O75" s="8">
        <f>G75*1%</f>
        <v>66000</v>
      </c>
      <c r="P75">
        <v>5</v>
      </c>
      <c r="Q75" s="13">
        <f>P75*200000</f>
        <v>1000000</v>
      </c>
      <c r="R75" s="8">
        <v>300000</v>
      </c>
      <c r="S75" s="9">
        <f>8%*G75</f>
        <v>528000</v>
      </c>
    </row>
    <row r="76" spans="1:19" x14ac:dyDescent="0.3">
      <c r="A76">
        <v>74</v>
      </c>
      <c r="B76" s="10" t="s">
        <v>195</v>
      </c>
      <c r="C76" s="10" t="s">
        <v>196</v>
      </c>
      <c r="D76" s="11" t="str">
        <f>VLOOKUP(MID(B76,6,1),'Tabel Acuan'!$A$10:$B$17,2,0)</f>
        <v>Human Resources (HR)</v>
      </c>
      <c r="E76" t="str">
        <f>VLOOKUP(MID(B76,8,2),'Tabel Acuan'!$A$1:$B$6,2,0)</f>
        <v>Assistant Manager</v>
      </c>
      <c r="F76" s="12">
        <v>45484</v>
      </c>
      <c r="G76" s="8" cm="1">
        <f t="array" ref="G76">INDEX('Tabel Acuan'!$F$4:$F$39,
MATCH(1,('Tabel Acuan'!$D$4:$D$39='Data Gaji Pegawai'!D76)*('Tabel Acuan'!$E$4:$E$39='Data Gaji Pegawai'!E76),0))</f>
        <v>9000000</v>
      </c>
      <c r="H76">
        <f>I76/100000</f>
        <v>25</v>
      </c>
      <c r="I76" s="14">
        <v>2500000</v>
      </c>
      <c r="J76">
        <f ca="1">INT((TODAY()-F76)/30.417)</f>
        <v>23</v>
      </c>
      <c r="K76" s="13">
        <f t="shared" ca="1" si="1"/>
        <v>0</v>
      </c>
      <c r="L76" s="8">
        <f>G76*3.7%</f>
        <v>333000.00000000006</v>
      </c>
      <c r="M76" s="8">
        <f>G76*2%</f>
        <v>180000</v>
      </c>
      <c r="N76" s="8">
        <f>G76*4%</f>
        <v>360000</v>
      </c>
      <c r="O76" s="8">
        <f>G76*1%</f>
        <v>90000</v>
      </c>
      <c r="P76">
        <v>6</v>
      </c>
      <c r="Q76" s="13">
        <f>P76*200000</f>
        <v>1200000</v>
      </c>
      <c r="R76" s="8">
        <v>0</v>
      </c>
      <c r="S76" s="9">
        <f>8%*G76</f>
        <v>720000</v>
      </c>
    </row>
    <row r="77" spans="1:19" x14ac:dyDescent="0.3">
      <c r="A77">
        <v>75</v>
      </c>
      <c r="B77" s="10" t="s">
        <v>197</v>
      </c>
      <c r="C77" s="10" t="s">
        <v>198</v>
      </c>
      <c r="D77" s="11" t="str">
        <f>VLOOKUP(MID(B77,6,1),'Tabel Acuan'!$A$10:$B$17,2,0)</f>
        <v>Finance</v>
      </c>
      <c r="E77" t="str">
        <f>VLOOKUP(MID(B77,8,2),'Tabel Acuan'!$A$1:$B$6,2,0)</f>
        <v>Staff</v>
      </c>
      <c r="F77" s="12">
        <v>46008</v>
      </c>
      <c r="G77" s="8" cm="1">
        <f t="array" ref="G77">INDEX('Tabel Acuan'!$F$4:$F$39,
MATCH(1,('Tabel Acuan'!$D$4:$D$39='Data Gaji Pegawai'!D77)*('Tabel Acuan'!$E$4:$E$39='Data Gaji Pegawai'!E77),0))</f>
        <v>5500000</v>
      </c>
      <c r="H77">
        <f>I77/100000</f>
        <v>38</v>
      </c>
      <c r="I77" s="14">
        <v>3800000</v>
      </c>
      <c r="J77">
        <f ca="1">INT((TODAY()-F77)/30.417)</f>
        <v>6</v>
      </c>
      <c r="K77" s="13">
        <f t="shared" ca="1" si="1"/>
        <v>0</v>
      </c>
      <c r="L77" s="8">
        <f>G77*3.7%</f>
        <v>203500.00000000003</v>
      </c>
      <c r="M77" s="8">
        <f>G77*2%</f>
        <v>110000</v>
      </c>
      <c r="N77" s="8">
        <f>G77*4%</f>
        <v>220000</v>
      </c>
      <c r="O77" s="8">
        <f>G77*1%</f>
        <v>55000</v>
      </c>
      <c r="P77">
        <v>3</v>
      </c>
      <c r="Q77" s="13">
        <f>P77*200000</f>
        <v>600000</v>
      </c>
      <c r="R77" s="8">
        <v>3000000</v>
      </c>
      <c r="S77" s="9">
        <f>8%*G77</f>
        <v>440000</v>
      </c>
    </row>
    <row r="78" spans="1:19" x14ac:dyDescent="0.3">
      <c r="A78">
        <v>76</v>
      </c>
      <c r="B78" s="10" t="s">
        <v>199</v>
      </c>
      <c r="C78" s="10" t="s">
        <v>200</v>
      </c>
      <c r="D78" s="11" t="str">
        <f>VLOOKUP(MID(B78,6,1),'Tabel Acuan'!$A$10:$B$17,2,0)</f>
        <v>Logistics</v>
      </c>
      <c r="E78" t="str">
        <f>VLOOKUP(MID(B78,8,2),'Tabel Acuan'!$A$1:$B$6,2,0)</f>
        <v>Senior Staff</v>
      </c>
      <c r="F78" s="12">
        <v>42040</v>
      </c>
      <c r="G78" s="8" cm="1">
        <f t="array" ref="G78">INDEX('Tabel Acuan'!$F$4:$F$39,
MATCH(1,('Tabel Acuan'!$D$4:$D$39='Data Gaji Pegawai'!D78)*('Tabel Acuan'!$E$4:$E$39='Data Gaji Pegawai'!E78),0))</f>
        <v>6250000</v>
      </c>
      <c r="H78">
        <f>I78/100000</f>
        <v>32</v>
      </c>
      <c r="I78" s="14">
        <v>3200000</v>
      </c>
      <c r="J78">
        <f ca="1">INT((TODAY()-F78)/30.417)</f>
        <v>136</v>
      </c>
      <c r="K78" s="13">
        <f t="shared" ca="1" si="1"/>
        <v>0</v>
      </c>
      <c r="L78" s="8">
        <f>G78*3.7%</f>
        <v>231250.00000000003</v>
      </c>
      <c r="M78" s="8">
        <f>G78*2%</f>
        <v>125000</v>
      </c>
      <c r="N78" s="8">
        <f>G78*4%</f>
        <v>250000</v>
      </c>
      <c r="O78" s="8">
        <f>G78*1%</f>
        <v>62500</v>
      </c>
      <c r="P78">
        <v>10</v>
      </c>
      <c r="Q78" s="13">
        <f>P78*200000</f>
        <v>2000000</v>
      </c>
      <c r="R78" s="8">
        <v>0</v>
      </c>
      <c r="S78" s="9">
        <f>8%*G78</f>
        <v>500000</v>
      </c>
    </row>
    <row r="79" spans="1:19" x14ac:dyDescent="0.3">
      <c r="A79">
        <v>77</v>
      </c>
      <c r="B79" s="10" t="s">
        <v>201</v>
      </c>
      <c r="C79" s="10" t="s">
        <v>202</v>
      </c>
      <c r="D79" s="11" t="str">
        <f>VLOOKUP(MID(B79,6,1),'Tabel Acuan'!$A$10:$B$17,2,0)</f>
        <v>Operations</v>
      </c>
      <c r="E79" t="str">
        <f>VLOOKUP(MID(B79,8,2),'Tabel Acuan'!$A$1:$B$6,2,0)</f>
        <v>Senior Staff</v>
      </c>
      <c r="F79" s="12">
        <v>44522</v>
      </c>
      <c r="G79" s="8" cm="1">
        <f t="array" ref="G79">INDEX('Tabel Acuan'!$F$4:$F$39,
MATCH(1,('Tabel Acuan'!$D$4:$D$39='Data Gaji Pegawai'!D79)*('Tabel Acuan'!$E$4:$E$39='Data Gaji Pegawai'!E79),0))</f>
        <v>6300000</v>
      </c>
      <c r="H79">
        <f>I79/100000</f>
        <v>57</v>
      </c>
      <c r="I79" s="14">
        <v>5700000</v>
      </c>
      <c r="J79">
        <f ca="1">INT((TODAY()-F79)/30.417)</f>
        <v>55</v>
      </c>
      <c r="K79" s="13">
        <f t="shared" ca="1" si="1"/>
        <v>0</v>
      </c>
      <c r="L79" s="8">
        <f>G79*3.7%</f>
        <v>233100.00000000003</v>
      </c>
      <c r="M79" s="8">
        <f>G79*2%</f>
        <v>126000</v>
      </c>
      <c r="N79" s="8">
        <f>G79*4%</f>
        <v>252000</v>
      </c>
      <c r="O79" s="8">
        <f>G79*1%</f>
        <v>63000</v>
      </c>
      <c r="P79">
        <v>14</v>
      </c>
      <c r="Q79" s="13">
        <f>P79*200000</f>
        <v>2800000</v>
      </c>
      <c r="R79" s="8">
        <v>1500000</v>
      </c>
      <c r="S79" s="9">
        <f>8%*G79</f>
        <v>504000</v>
      </c>
    </row>
    <row r="80" spans="1:19" x14ac:dyDescent="0.3">
      <c r="A80">
        <v>78</v>
      </c>
      <c r="B80" s="10" t="s">
        <v>203</v>
      </c>
      <c r="C80" s="10" t="s">
        <v>204</v>
      </c>
      <c r="D80" s="11" t="str">
        <f>VLOOKUP(MID(B80,6,1),'Tabel Acuan'!$A$10:$B$17,2,0)</f>
        <v>Sales</v>
      </c>
      <c r="E80" t="str">
        <f>VLOOKUP(MID(B80,8,2),'Tabel Acuan'!$A$1:$B$6,2,0)</f>
        <v>Senior Staff</v>
      </c>
      <c r="F80" s="12">
        <v>43051</v>
      </c>
      <c r="G80" s="8" cm="1">
        <f t="array" ref="G80">INDEX('Tabel Acuan'!$F$4:$F$39,
MATCH(1,('Tabel Acuan'!$D$4:$D$39='Data Gaji Pegawai'!D80)*('Tabel Acuan'!$E$4:$E$39='Data Gaji Pegawai'!E80),0))</f>
        <v>6000000</v>
      </c>
      <c r="H80">
        <f>I80/100000</f>
        <v>51</v>
      </c>
      <c r="I80" s="14">
        <v>5100000</v>
      </c>
      <c r="J80">
        <f ca="1">INT((TODAY()-F80)/30.417)</f>
        <v>103</v>
      </c>
      <c r="K80" s="13">
        <f t="shared" ca="1" si="1"/>
        <v>0</v>
      </c>
      <c r="L80" s="8">
        <f>G80*3.7%</f>
        <v>222000.00000000003</v>
      </c>
      <c r="M80" s="8">
        <f>G80*2%</f>
        <v>120000</v>
      </c>
      <c r="N80" s="8">
        <f>G80*4%</f>
        <v>240000</v>
      </c>
      <c r="O80" s="8">
        <f>G80*1%</f>
        <v>60000</v>
      </c>
      <c r="P80">
        <v>15</v>
      </c>
      <c r="Q80" s="13">
        <f>P80*200000</f>
        <v>3000000</v>
      </c>
      <c r="R80" s="8">
        <v>4000000</v>
      </c>
      <c r="S80" s="9">
        <f>8%*G80</f>
        <v>480000</v>
      </c>
    </row>
    <row r="81" spans="1:19" x14ac:dyDescent="0.3">
      <c r="A81">
        <v>79</v>
      </c>
      <c r="B81" s="10" t="s">
        <v>205</v>
      </c>
      <c r="C81" s="10" t="s">
        <v>206</v>
      </c>
      <c r="D81" s="11" t="str">
        <f>VLOOKUP(MID(B81,6,1),'Tabel Acuan'!$A$10:$B$17,2,0)</f>
        <v>Logistics</v>
      </c>
      <c r="E81" t="str">
        <f>VLOOKUP(MID(B81,8,2),'Tabel Acuan'!$A$1:$B$6,2,0)</f>
        <v>Staff</v>
      </c>
      <c r="F81" s="12">
        <v>45434</v>
      </c>
      <c r="G81" s="8" cm="1">
        <f t="array" ref="G81">INDEX('Tabel Acuan'!$F$4:$F$39,
MATCH(1,('Tabel Acuan'!$D$4:$D$39='Data Gaji Pegawai'!D81)*('Tabel Acuan'!$E$4:$E$39='Data Gaji Pegawai'!E81),0))</f>
        <v>5200000</v>
      </c>
      <c r="H81">
        <f>I81/100000</f>
        <v>56</v>
      </c>
      <c r="I81" s="14">
        <v>5600000</v>
      </c>
      <c r="J81">
        <f ca="1">INT((TODAY()-F81)/30.417)</f>
        <v>25</v>
      </c>
      <c r="K81" s="13">
        <f t="shared" ca="1" si="1"/>
        <v>0</v>
      </c>
      <c r="L81" s="8">
        <f>G81*3.7%</f>
        <v>192400.00000000003</v>
      </c>
      <c r="M81" s="8">
        <f>G81*2%</f>
        <v>104000</v>
      </c>
      <c r="N81" s="8">
        <f>G81*4%</f>
        <v>208000</v>
      </c>
      <c r="O81" s="8">
        <f>G81*1%</f>
        <v>52000</v>
      </c>
      <c r="P81">
        <v>14</v>
      </c>
      <c r="Q81" s="13">
        <f>P81*200000</f>
        <v>2800000</v>
      </c>
      <c r="R81" s="8">
        <v>0</v>
      </c>
      <c r="S81" s="9">
        <f>8%*G81</f>
        <v>416000</v>
      </c>
    </row>
    <row r="82" spans="1:19" x14ac:dyDescent="0.3">
      <c r="A82">
        <v>80</v>
      </c>
      <c r="B82" s="10" t="s">
        <v>207</v>
      </c>
      <c r="C82" s="10" t="s">
        <v>208</v>
      </c>
      <c r="D82" s="11" t="str">
        <f>VLOOKUP(MID(B82,6,1),'Tabel Acuan'!$A$10:$B$17,2,0)</f>
        <v>Marketing</v>
      </c>
      <c r="E82" t="str">
        <f>VLOOKUP(MID(B82,8,2),'Tabel Acuan'!$A$1:$B$6,2,0)</f>
        <v>Senior Staff</v>
      </c>
      <c r="F82" s="12">
        <v>44576</v>
      </c>
      <c r="G82" s="8" cm="1">
        <f t="array" ref="G82">INDEX('Tabel Acuan'!$F$4:$F$39,
MATCH(1,('Tabel Acuan'!$D$4:$D$39='Data Gaji Pegawai'!D82)*('Tabel Acuan'!$E$4:$E$39='Data Gaji Pegawai'!E82),0))</f>
        <v>6400000</v>
      </c>
      <c r="H82">
        <f>I82/100000</f>
        <v>31</v>
      </c>
      <c r="I82" s="14">
        <v>3100000</v>
      </c>
      <c r="J82">
        <f ca="1">INT((TODAY()-F82)/30.417)</f>
        <v>53</v>
      </c>
      <c r="K82" s="13">
        <f t="shared" ca="1" si="1"/>
        <v>0</v>
      </c>
      <c r="L82" s="8">
        <f>G82*3.7%</f>
        <v>236800.00000000003</v>
      </c>
      <c r="M82" s="8">
        <f>G82*2%</f>
        <v>128000</v>
      </c>
      <c r="N82" s="8">
        <f>G82*4%</f>
        <v>256000</v>
      </c>
      <c r="O82" s="8">
        <f>G82*1%</f>
        <v>64000</v>
      </c>
      <c r="P82">
        <v>10</v>
      </c>
      <c r="Q82" s="13">
        <f>P82*200000</f>
        <v>2000000</v>
      </c>
      <c r="R82" s="8">
        <v>0</v>
      </c>
      <c r="S82" s="9">
        <f>8%*G82</f>
        <v>512000</v>
      </c>
    </row>
    <row r="83" spans="1:19" x14ac:dyDescent="0.3">
      <c r="A83">
        <v>81</v>
      </c>
      <c r="B83" s="10" t="s">
        <v>209</v>
      </c>
      <c r="C83" s="10" t="s">
        <v>210</v>
      </c>
      <c r="D83" s="11" t="str">
        <f>VLOOKUP(MID(B83,6,1),'Tabel Acuan'!$A$10:$B$17,2,0)</f>
        <v>Logistics</v>
      </c>
      <c r="E83" t="str">
        <f>VLOOKUP(MID(B83,8,2),'Tabel Acuan'!$A$1:$B$6,2,0)</f>
        <v>Supervisor</v>
      </c>
      <c r="F83" s="12">
        <v>43406</v>
      </c>
      <c r="G83" s="8" cm="1">
        <f t="array" ref="G83">INDEX('Tabel Acuan'!$F$4:$F$39,
MATCH(1,('Tabel Acuan'!$D$4:$D$39='Data Gaji Pegawai'!D83)*('Tabel Acuan'!$E$4:$E$39='Data Gaji Pegawai'!E83),0))</f>
        <v>7500000</v>
      </c>
      <c r="H83">
        <f>I83/100000</f>
        <v>44</v>
      </c>
      <c r="I83" s="14">
        <v>4400000</v>
      </c>
      <c r="J83">
        <f ca="1">INT((TODAY()-F83)/30.417)</f>
        <v>92</v>
      </c>
      <c r="K83" s="13">
        <f t="shared" ca="1" si="1"/>
        <v>0</v>
      </c>
      <c r="L83" s="8">
        <f>G83*3.7%</f>
        <v>277500.00000000006</v>
      </c>
      <c r="M83" s="8">
        <f>G83*2%</f>
        <v>150000</v>
      </c>
      <c r="N83" s="8">
        <f>G83*4%</f>
        <v>300000</v>
      </c>
      <c r="O83" s="8">
        <f>G83*1%</f>
        <v>75000</v>
      </c>
      <c r="P83">
        <v>8</v>
      </c>
      <c r="Q83" s="13">
        <f>P83*200000</f>
        <v>1600000</v>
      </c>
      <c r="R83" s="8">
        <v>2500000</v>
      </c>
      <c r="S83" s="9">
        <f>8%*G83</f>
        <v>600000</v>
      </c>
    </row>
    <row r="84" spans="1:19" x14ac:dyDescent="0.3">
      <c r="A84">
        <v>82</v>
      </c>
      <c r="B84" s="10" t="s">
        <v>211</v>
      </c>
      <c r="C84" s="10" t="s">
        <v>212</v>
      </c>
      <c r="D84" s="11" t="str">
        <f>VLOOKUP(MID(B84,6,1),'Tabel Acuan'!$A$10:$B$17,2,0)</f>
        <v>Human Resources (HR)</v>
      </c>
      <c r="E84" t="str">
        <f>VLOOKUP(MID(B84,8,2),'Tabel Acuan'!$A$1:$B$6,2,0)</f>
        <v>Staff</v>
      </c>
      <c r="F84" s="12">
        <v>43385</v>
      </c>
      <c r="G84" s="8" cm="1">
        <f t="array" ref="G84">INDEX('Tabel Acuan'!$F$4:$F$39,
MATCH(1,('Tabel Acuan'!$D$4:$D$39='Data Gaji Pegawai'!D84)*('Tabel Acuan'!$E$4:$E$39='Data Gaji Pegawai'!E84),0))</f>
        <v>5000000</v>
      </c>
      <c r="H84">
        <f>I84/100000</f>
        <v>48</v>
      </c>
      <c r="I84" s="14">
        <v>4800000</v>
      </c>
      <c r="J84">
        <f ca="1">INT((TODAY()-F84)/30.417)</f>
        <v>92</v>
      </c>
      <c r="K84" s="13">
        <f t="shared" ca="1" si="1"/>
        <v>0</v>
      </c>
      <c r="L84" s="8">
        <f>G84*3.7%</f>
        <v>185000.00000000003</v>
      </c>
      <c r="M84" s="8">
        <f>G84*2%</f>
        <v>100000</v>
      </c>
      <c r="N84" s="8">
        <f>G84*4%</f>
        <v>200000</v>
      </c>
      <c r="O84" s="8">
        <f>G84*1%</f>
        <v>50000</v>
      </c>
      <c r="P84">
        <v>7</v>
      </c>
      <c r="Q84" s="13">
        <f>P84*200000</f>
        <v>1400000</v>
      </c>
      <c r="R84" s="8">
        <v>3500000</v>
      </c>
      <c r="S84" s="9">
        <f>8%*G84</f>
        <v>400000</v>
      </c>
    </row>
    <row r="85" spans="1:19" x14ac:dyDescent="0.3">
      <c r="A85">
        <v>83</v>
      </c>
      <c r="B85" s="10" t="s">
        <v>213</v>
      </c>
      <c r="C85" s="10" t="s">
        <v>214</v>
      </c>
      <c r="D85" s="11" t="str">
        <f>VLOOKUP(MID(B85,6,1),'Tabel Acuan'!$A$10:$B$17,2,0)</f>
        <v>Information Technology (IT)</v>
      </c>
      <c r="E85" t="str">
        <f>VLOOKUP(MID(B85,8,2),'Tabel Acuan'!$A$1:$B$6,2,0)</f>
        <v>Supervisor</v>
      </c>
      <c r="F85" s="12">
        <v>44675</v>
      </c>
      <c r="G85" s="8" cm="1">
        <f t="array" ref="G85">INDEX('Tabel Acuan'!$F$4:$F$39,
MATCH(1,('Tabel Acuan'!$D$4:$D$39='Data Gaji Pegawai'!D85)*('Tabel Acuan'!$E$4:$E$39='Data Gaji Pegawai'!E85),0))</f>
        <v>9000000</v>
      </c>
      <c r="H85">
        <f>I85/100000</f>
        <v>25</v>
      </c>
      <c r="I85" s="14">
        <v>2500000</v>
      </c>
      <c r="J85">
        <f ca="1">INT((TODAY()-F85)/30.417)</f>
        <v>50</v>
      </c>
      <c r="K85" s="13">
        <f t="shared" ca="1" si="1"/>
        <v>0</v>
      </c>
      <c r="L85" s="8">
        <f>G85*3.7%</f>
        <v>333000.00000000006</v>
      </c>
      <c r="M85" s="8">
        <f>G85*2%</f>
        <v>180000</v>
      </c>
      <c r="N85" s="8">
        <f>G85*4%</f>
        <v>360000</v>
      </c>
      <c r="O85" s="8">
        <f>G85*1%</f>
        <v>90000</v>
      </c>
      <c r="P85">
        <v>7</v>
      </c>
      <c r="Q85" s="13">
        <f>P85*200000</f>
        <v>1400000</v>
      </c>
      <c r="R85" s="8">
        <v>0</v>
      </c>
      <c r="S85" s="9">
        <f>8%*G85</f>
        <v>720000</v>
      </c>
    </row>
    <row r="86" spans="1:19" x14ac:dyDescent="0.3">
      <c r="A86">
        <v>84</v>
      </c>
      <c r="B86" s="10" t="s">
        <v>215</v>
      </c>
      <c r="C86" s="10" t="s">
        <v>216</v>
      </c>
      <c r="D86" s="11" t="str">
        <f>VLOOKUP(MID(B86,6,1),'Tabel Acuan'!$A$10:$B$17,2,0)</f>
        <v>Logistics</v>
      </c>
      <c r="E86" t="str">
        <f>VLOOKUP(MID(B86,8,2),'Tabel Acuan'!$A$1:$B$6,2,0)</f>
        <v>Senior Staff</v>
      </c>
      <c r="F86" s="12">
        <v>45509</v>
      </c>
      <c r="G86" s="8" cm="1">
        <f t="array" ref="G86">INDEX('Tabel Acuan'!$F$4:$F$39,
MATCH(1,('Tabel Acuan'!$D$4:$D$39='Data Gaji Pegawai'!D86)*('Tabel Acuan'!$E$4:$E$39='Data Gaji Pegawai'!E86),0))</f>
        <v>6250000</v>
      </c>
      <c r="H86">
        <f>I86/100000</f>
        <v>47</v>
      </c>
      <c r="I86" s="14">
        <v>4700000</v>
      </c>
      <c r="J86">
        <f ca="1">INT((TODAY()-F86)/30.417)</f>
        <v>22</v>
      </c>
      <c r="K86" s="13">
        <f t="shared" ca="1" si="1"/>
        <v>0</v>
      </c>
      <c r="L86" s="8">
        <f>G86*3.7%</f>
        <v>231250.00000000003</v>
      </c>
      <c r="M86" s="8">
        <f>G86*2%</f>
        <v>125000</v>
      </c>
      <c r="N86" s="8">
        <f>G86*4%</f>
        <v>250000</v>
      </c>
      <c r="O86" s="8">
        <f>G86*1%</f>
        <v>62500</v>
      </c>
      <c r="P86">
        <v>10</v>
      </c>
      <c r="Q86" s="13">
        <f>P86*200000</f>
        <v>2000000</v>
      </c>
      <c r="R86" s="8">
        <v>2000000</v>
      </c>
      <c r="S86" s="9">
        <f>8%*G86</f>
        <v>500000</v>
      </c>
    </row>
    <row r="87" spans="1:19" x14ac:dyDescent="0.3">
      <c r="A87">
        <v>85</v>
      </c>
      <c r="B87" s="10" t="s">
        <v>217</v>
      </c>
      <c r="C87" s="10" t="s">
        <v>150</v>
      </c>
      <c r="D87" s="11" t="str">
        <f>VLOOKUP(MID(B87,6,1),'Tabel Acuan'!$A$10:$B$17,2,0)</f>
        <v>Logistics</v>
      </c>
      <c r="E87" t="str">
        <f>VLOOKUP(MID(B87,8,2),'Tabel Acuan'!$A$1:$B$6,2,0)</f>
        <v>Staff</v>
      </c>
      <c r="F87" s="12">
        <v>43564</v>
      </c>
      <c r="G87" s="8" cm="1">
        <f t="array" ref="G87">INDEX('Tabel Acuan'!$F$4:$F$39,
MATCH(1,('Tabel Acuan'!$D$4:$D$39='Data Gaji Pegawai'!D87)*('Tabel Acuan'!$E$4:$E$39='Data Gaji Pegawai'!E87),0))</f>
        <v>5200000</v>
      </c>
      <c r="H87">
        <f>I87/100000</f>
        <v>20</v>
      </c>
      <c r="I87" s="14">
        <v>2000000</v>
      </c>
      <c r="J87">
        <f ca="1">INT((TODAY()-F87)/30.417)</f>
        <v>86</v>
      </c>
      <c r="K87" s="13">
        <f t="shared" ca="1" si="1"/>
        <v>0</v>
      </c>
      <c r="L87" s="8">
        <f>G87*3.7%</f>
        <v>192400.00000000003</v>
      </c>
      <c r="M87" s="8">
        <f>G87*2%</f>
        <v>104000</v>
      </c>
      <c r="N87" s="8">
        <f>G87*4%</f>
        <v>208000</v>
      </c>
      <c r="O87" s="8">
        <f>G87*1%</f>
        <v>52000</v>
      </c>
      <c r="P87">
        <v>3</v>
      </c>
      <c r="Q87" s="13">
        <f>P87*200000</f>
        <v>600000</v>
      </c>
      <c r="R87" s="8">
        <v>5000000</v>
      </c>
      <c r="S87" s="9">
        <f>8%*G87</f>
        <v>416000</v>
      </c>
    </row>
    <row r="88" spans="1:19" x14ac:dyDescent="0.3">
      <c r="A88">
        <v>86</v>
      </c>
      <c r="B88" s="10" t="s">
        <v>218</v>
      </c>
      <c r="C88" s="10" t="s">
        <v>219</v>
      </c>
      <c r="D88" s="11" t="str">
        <f>VLOOKUP(MID(B88,6,1),'Tabel Acuan'!$A$10:$B$17,2,0)</f>
        <v>Finance</v>
      </c>
      <c r="E88" t="str">
        <f>VLOOKUP(MID(B88,8,2),'Tabel Acuan'!$A$1:$B$6,2,0)</f>
        <v>Staff</v>
      </c>
      <c r="F88" s="12">
        <v>43037</v>
      </c>
      <c r="G88" s="8" cm="1">
        <f t="array" ref="G88">INDEX('Tabel Acuan'!$F$4:$F$39,
MATCH(1,('Tabel Acuan'!$D$4:$D$39='Data Gaji Pegawai'!D88)*('Tabel Acuan'!$E$4:$E$39='Data Gaji Pegawai'!E88),0))</f>
        <v>5500000</v>
      </c>
      <c r="H88">
        <f>I88/100000</f>
        <v>48</v>
      </c>
      <c r="I88" s="14">
        <v>4800000</v>
      </c>
      <c r="J88">
        <f ca="1">INT((TODAY()-F88)/30.417)</f>
        <v>104</v>
      </c>
      <c r="K88" s="13">
        <f t="shared" ca="1" si="1"/>
        <v>0</v>
      </c>
      <c r="L88" s="8">
        <f>G88*3.7%</f>
        <v>203500.00000000003</v>
      </c>
      <c r="M88" s="8">
        <f>G88*2%</f>
        <v>110000</v>
      </c>
      <c r="N88" s="8">
        <f>G88*4%</f>
        <v>220000</v>
      </c>
      <c r="O88" s="8">
        <f>G88*1%</f>
        <v>55000</v>
      </c>
      <c r="P88">
        <v>9</v>
      </c>
      <c r="Q88" s="13">
        <f>P88*200000</f>
        <v>1800000</v>
      </c>
      <c r="R88" s="8">
        <v>750000</v>
      </c>
      <c r="S88" s="9">
        <f>8%*G88</f>
        <v>440000</v>
      </c>
    </row>
    <row r="89" spans="1:19" x14ac:dyDescent="0.3">
      <c r="A89">
        <v>87</v>
      </c>
      <c r="B89" s="10" t="s">
        <v>220</v>
      </c>
      <c r="C89" s="10" t="s">
        <v>221</v>
      </c>
      <c r="D89" s="11" t="str">
        <f>VLOOKUP(MID(B89,6,1),'Tabel Acuan'!$A$10:$B$17,2,0)</f>
        <v>Finance</v>
      </c>
      <c r="E89" t="str">
        <f>VLOOKUP(MID(B89,8,2),'Tabel Acuan'!$A$1:$B$6,2,0)</f>
        <v>Staff</v>
      </c>
      <c r="F89" s="12">
        <v>43828</v>
      </c>
      <c r="G89" s="8" cm="1">
        <f t="array" ref="G89">INDEX('Tabel Acuan'!$F$4:$F$39,
MATCH(1,('Tabel Acuan'!$D$4:$D$39='Data Gaji Pegawai'!D89)*('Tabel Acuan'!$E$4:$E$39='Data Gaji Pegawai'!E89),0))</f>
        <v>5500000</v>
      </c>
      <c r="H89">
        <f>I89/100000</f>
        <v>34</v>
      </c>
      <c r="I89" s="14">
        <v>3400000</v>
      </c>
      <c r="J89">
        <f ca="1">INT((TODAY()-F89)/30.417)</f>
        <v>78</v>
      </c>
      <c r="K89" s="13">
        <f t="shared" ca="1" si="1"/>
        <v>0</v>
      </c>
      <c r="L89" s="8">
        <f>G89*3.7%</f>
        <v>203500.00000000003</v>
      </c>
      <c r="M89" s="8">
        <f>G89*2%</f>
        <v>110000</v>
      </c>
      <c r="N89" s="8">
        <f>G89*4%</f>
        <v>220000</v>
      </c>
      <c r="O89" s="8">
        <f>G89*1%</f>
        <v>55000</v>
      </c>
      <c r="P89">
        <v>4</v>
      </c>
      <c r="Q89" s="13">
        <f>P89*200000</f>
        <v>800000</v>
      </c>
      <c r="R89" s="8">
        <v>0</v>
      </c>
      <c r="S89" s="9">
        <f>8%*G89</f>
        <v>440000</v>
      </c>
    </row>
    <row r="90" spans="1:19" x14ac:dyDescent="0.3">
      <c r="A90">
        <v>88</v>
      </c>
      <c r="B90" s="10" t="s">
        <v>222</v>
      </c>
      <c r="C90" s="10" t="s">
        <v>223</v>
      </c>
      <c r="D90" s="11" t="str">
        <f>VLOOKUP(MID(B90,6,1),'Tabel Acuan'!$A$10:$B$17,2,0)</f>
        <v>Marketing</v>
      </c>
      <c r="E90" t="str">
        <f>VLOOKUP(MID(B90,8,2),'Tabel Acuan'!$A$1:$B$6,2,0)</f>
        <v>Staff</v>
      </c>
      <c r="F90" s="12">
        <v>42256</v>
      </c>
      <c r="G90" s="8" cm="1">
        <f t="array" ref="G90">INDEX('Tabel Acuan'!$F$4:$F$39,
MATCH(1,('Tabel Acuan'!$D$4:$D$39='Data Gaji Pegawai'!D90)*('Tabel Acuan'!$E$4:$E$39='Data Gaji Pegawai'!E90),0))</f>
        <v>5300000</v>
      </c>
      <c r="H90">
        <f>I90/100000</f>
        <v>6</v>
      </c>
      <c r="I90" s="14">
        <v>600000</v>
      </c>
      <c r="J90">
        <f ca="1">INT((TODAY()-F90)/30.417)</f>
        <v>129</v>
      </c>
      <c r="K90" s="13">
        <f t="shared" ca="1" si="1"/>
        <v>0</v>
      </c>
      <c r="L90" s="8">
        <f>G90*3.7%</f>
        <v>196100.00000000003</v>
      </c>
      <c r="M90" s="8">
        <f>G90*2%</f>
        <v>106000</v>
      </c>
      <c r="N90" s="8">
        <f>G90*4%</f>
        <v>212000</v>
      </c>
      <c r="O90" s="8">
        <f>G90*1%</f>
        <v>53000</v>
      </c>
      <c r="P90">
        <v>0</v>
      </c>
      <c r="Q90" s="13">
        <f>P90*200000</f>
        <v>0</v>
      </c>
      <c r="R90" s="8">
        <v>2000000</v>
      </c>
      <c r="S90" s="9">
        <f>8%*G90</f>
        <v>424000</v>
      </c>
    </row>
    <row r="91" spans="1:19" x14ac:dyDescent="0.3">
      <c r="A91">
        <v>89</v>
      </c>
      <c r="B91" s="10" t="s">
        <v>224</v>
      </c>
      <c r="C91" s="10" t="s">
        <v>225</v>
      </c>
      <c r="D91" s="11" t="str">
        <f>VLOOKUP(MID(B91,6,1),'Tabel Acuan'!$A$10:$B$17,2,0)</f>
        <v>Information Technology (IT)</v>
      </c>
      <c r="E91" t="str">
        <f>VLOOKUP(MID(B91,8,2),'Tabel Acuan'!$A$1:$B$6,2,0)</f>
        <v>Staff</v>
      </c>
      <c r="F91" s="12">
        <v>44806</v>
      </c>
      <c r="G91" s="8" cm="1">
        <f t="array" ref="G91">INDEX('Tabel Acuan'!$F$4:$F$39,
MATCH(1,('Tabel Acuan'!$D$4:$D$39='Data Gaji Pegawai'!D91)*('Tabel Acuan'!$E$4:$E$39='Data Gaji Pegawai'!E91),0))</f>
        <v>6000000</v>
      </c>
      <c r="H91">
        <f>I91/100000</f>
        <v>7</v>
      </c>
      <c r="I91" s="14">
        <v>700000</v>
      </c>
      <c r="J91">
        <f ca="1">INT((TODAY()-F91)/30.417)</f>
        <v>45</v>
      </c>
      <c r="K91" s="13">
        <f t="shared" ca="1" si="1"/>
        <v>0</v>
      </c>
      <c r="L91" s="8">
        <f>G91*3.7%</f>
        <v>222000.00000000003</v>
      </c>
      <c r="M91" s="8">
        <f>G91*2%</f>
        <v>120000</v>
      </c>
      <c r="N91" s="8">
        <f>G91*4%</f>
        <v>240000</v>
      </c>
      <c r="O91" s="8">
        <f>G91*1%</f>
        <v>60000</v>
      </c>
      <c r="P91">
        <v>2</v>
      </c>
      <c r="Q91" s="13">
        <f>P91*200000</f>
        <v>400000</v>
      </c>
      <c r="R91" s="8">
        <v>300000</v>
      </c>
      <c r="S91" s="9">
        <f>8%*G91</f>
        <v>480000</v>
      </c>
    </row>
    <row r="92" spans="1:19" x14ac:dyDescent="0.3">
      <c r="A92">
        <v>90</v>
      </c>
      <c r="B92" s="10" t="s">
        <v>226</v>
      </c>
      <c r="C92" s="10" t="s">
        <v>227</v>
      </c>
      <c r="D92" s="11" t="str">
        <f>VLOOKUP(MID(B92,6,1),'Tabel Acuan'!$A$10:$B$17,2,0)</f>
        <v>Sales</v>
      </c>
      <c r="E92" t="str">
        <f>VLOOKUP(MID(B92,8,2),'Tabel Acuan'!$A$1:$B$6,2,0)</f>
        <v>Supervisor</v>
      </c>
      <c r="F92" s="12">
        <v>45580</v>
      </c>
      <c r="G92" s="8" cm="1">
        <f t="array" ref="G92">INDEX('Tabel Acuan'!$F$4:$F$39,
MATCH(1,('Tabel Acuan'!$D$4:$D$39='Data Gaji Pegawai'!D92)*('Tabel Acuan'!$E$4:$E$39='Data Gaji Pegawai'!E92),0))</f>
        <v>7500000</v>
      </c>
      <c r="H92">
        <f>I92/100000</f>
        <v>60</v>
      </c>
      <c r="I92" s="14">
        <v>6000000</v>
      </c>
      <c r="J92">
        <f ca="1">INT((TODAY()-F92)/30.417)</f>
        <v>20</v>
      </c>
      <c r="K92" s="13">
        <f t="shared" ca="1" si="1"/>
        <v>0</v>
      </c>
      <c r="L92" s="8">
        <f>G92*3.7%</f>
        <v>277500.00000000006</v>
      </c>
      <c r="M92" s="8">
        <f>G92*2%</f>
        <v>150000</v>
      </c>
      <c r="N92" s="8">
        <f>G92*4%</f>
        <v>300000</v>
      </c>
      <c r="O92" s="8">
        <f>G92*1%</f>
        <v>75000</v>
      </c>
      <c r="P92">
        <v>9</v>
      </c>
      <c r="Q92" s="13">
        <f>P92*200000</f>
        <v>1800000</v>
      </c>
      <c r="R92" s="8">
        <v>0</v>
      </c>
      <c r="S92" s="9">
        <f>8%*G92</f>
        <v>600000</v>
      </c>
    </row>
    <row r="93" spans="1:19" x14ac:dyDescent="0.3">
      <c r="A93">
        <v>91</v>
      </c>
      <c r="B93" s="10" t="s">
        <v>228</v>
      </c>
      <c r="C93" s="10" t="s">
        <v>229</v>
      </c>
      <c r="D93" s="11" t="str">
        <f>VLOOKUP(MID(B93,6,1),'Tabel Acuan'!$A$10:$B$17,2,0)</f>
        <v>Human Resources (HR)</v>
      </c>
      <c r="E93" t="str">
        <f>VLOOKUP(MID(B93,8,2),'Tabel Acuan'!$A$1:$B$6,2,0)</f>
        <v>Senior Staff</v>
      </c>
      <c r="F93" s="12">
        <v>43406</v>
      </c>
      <c r="G93" s="8" cm="1">
        <f t="array" ref="G93">INDEX('Tabel Acuan'!$F$4:$F$39,
MATCH(1,('Tabel Acuan'!$D$4:$D$39='Data Gaji Pegawai'!D93)*('Tabel Acuan'!$E$4:$E$39='Data Gaji Pegawai'!E93),0))</f>
        <v>6000000</v>
      </c>
      <c r="H93">
        <f>I93/100000</f>
        <v>50</v>
      </c>
      <c r="I93" s="14">
        <v>5000000</v>
      </c>
      <c r="J93">
        <f ca="1">INT((TODAY()-F93)/30.417)</f>
        <v>92</v>
      </c>
      <c r="K93" s="13">
        <f t="shared" ca="1" si="1"/>
        <v>0</v>
      </c>
      <c r="L93" s="8">
        <f>G93*3.7%</f>
        <v>222000.00000000003</v>
      </c>
      <c r="M93" s="8">
        <f>G93*2%</f>
        <v>120000</v>
      </c>
      <c r="N93" s="8">
        <f>G93*4%</f>
        <v>240000</v>
      </c>
      <c r="O93" s="8">
        <f>G93*1%</f>
        <v>60000</v>
      </c>
      <c r="P93">
        <v>7</v>
      </c>
      <c r="Q93" s="13">
        <f>P93*200000</f>
        <v>1400000</v>
      </c>
      <c r="R93" s="8">
        <v>1500000</v>
      </c>
      <c r="S93" s="9">
        <f>8%*G93</f>
        <v>480000</v>
      </c>
    </row>
    <row r="94" spans="1:19" x14ac:dyDescent="0.3">
      <c r="A94">
        <v>92</v>
      </c>
      <c r="B94" s="10" t="s">
        <v>230</v>
      </c>
      <c r="C94" s="10" t="s">
        <v>231</v>
      </c>
      <c r="D94" s="11" t="str">
        <f>VLOOKUP(MID(B94,6,1),'Tabel Acuan'!$A$10:$B$17,2,0)</f>
        <v>Information Technology (IT)</v>
      </c>
      <c r="E94" t="str">
        <f>VLOOKUP(MID(B94,8,2),'Tabel Acuan'!$A$1:$B$6,2,0)</f>
        <v>Staff</v>
      </c>
      <c r="F94" s="12">
        <v>44718</v>
      </c>
      <c r="G94" s="8" cm="1">
        <f t="array" ref="G94">INDEX('Tabel Acuan'!$F$4:$F$39,
MATCH(1,('Tabel Acuan'!$D$4:$D$39='Data Gaji Pegawai'!D94)*('Tabel Acuan'!$E$4:$E$39='Data Gaji Pegawai'!E94),0))</f>
        <v>6000000</v>
      </c>
      <c r="H94">
        <f>I94/100000</f>
        <v>36</v>
      </c>
      <c r="I94" s="14">
        <v>3600000</v>
      </c>
      <c r="J94">
        <f ca="1">INT((TODAY()-F94)/30.417)</f>
        <v>48</v>
      </c>
      <c r="K94" s="13">
        <f t="shared" ca="1" si="1"/>
        <v>0</v>
      </c>
      <c r="L94" s="8">
        <f>G94*3.7%</f>
        <v>222000.00000000003</v>
      </c>
      <c r="M94" s="8">
        <f>G94*2%</f>
        <v>120000</v>
      </c>
      <c r="N94" s="8">
        <f>G94*4%</f>
        <v>240000</v>
      </c>
      <c r="O94" s="8">
        <f>G94*1%</f>
        <v>60000</v>
      </c>
      <c r="P94">
        <v>1</v>
      </c>
      <c r="Q94" s="13">
        <f>P94*200000</f>
        <v>200000</v>
      </c>
      <c r="R94" s="8">
        <v>4000000</v>
      </c>
      <c r="S94" s="9">
        <f>8%*G94</f>
        <v>480000</v>
      </c>
    </row>
    <row r="95" spans="1:19" x14ac:dyDescent="0.3">
      <c r="A95">
        <v>93</v>
      </c>
      <c r="B95" s="10" t="s">
        <v>232</v>
      </c>
      <c r="C95" s="10" t="s">
        <v>233</v>
      </c>
      <c r="D95" s="11" t="str">
        <f>VLOOKUP(MID(B95,6,1),'Tabel Acuan'!$A$10:$B$17,2,0)</f>
        <v>Operations</v>
      </c>
      <c r="E95" t="str">
        <f>VLOOKUP(MID(B95,8,2),'Tabel Acuan'!$A$1:$B$6,2,0)</f>
        <v>Staff</v>
      </c>
      <c r="F95" s="12">
        <v>42708</v>
      </c>
      <c r="G95" s="8" cm="1">
        <f t="array" ref="G95">INDEX('Tabel Acuan'!$F$4:$F$39,
MATCH(1,('Tabel Acuan'!$D$4:$D$39='Data Gaji Pegawai'!D95)*('Tabel Acuan'!$E$4:$E$39='Data Gaji Pegawai'!E95),0))</f>
        <v>5200000</v>
      </c>
      <c r="H95">
        <f>I95/100000</f>
        <v>5</v>
      </c>
      <c r="I95" s="14">
        <v>500000</v>
      </c>
      <c r="J95">
        <f ca="1">INT((TODAY()-F95)/30.417)</f>
        <v>114</v>
      </c>
      <c r="K95" s="13">
        <f t="shared" ca="1" si="1"/>
        <v>0</v>
      </c>
      <c r="L95" s="8">
        <f>G95*3.7%</f>
        <v>192400.00000000003</v>
      </c>
      <c r="M95" s="8">
        <f>G95*2%</f>
        <v>104000</v>
      </c>
      <c r="N95" s="8">
        <f>G95*4%</f>
        <v>208000</v>
      </c>
      <c r="O95" s="8">
        <f>G95*1%</f>
        <v>52000</v>
      </c>
      <c r="P95">
        <v>5</v>
      </c>
      <c r="Q95" s="13">
        <f>P95*200000</f>
        <v>1000000</v>
      </c>
      <c r="R95" s="8">
        <v>0</v>
      </c>
      <c r="S95" s="9">
        <f>8%*G95</f>
        <v>416000</v>
      </c>
    </row>
    <row r="96" spans="1:19" x14ac:dyDescent="0.3">
      <c r="A96">
        <v>94</v>
      </c>
      <c r="B96" s="10" t="s">
        <v>234</v>
      </c>
      <c r="C96" s="10" t="s">
        <v>235</v>
      </c>
      <c r="D96" s="11" t="str">
        <f>VLOOKUP(MID(B96,6,1),'Tabel Acuan'!$A$10:$B$17,2,0)</f>
        <v>Human Resources (HR)</v>
      </c>
      <c r="E96" t="str">
        <f>VLOOKUP(MID(B96,8,2),'Tabel Acuan'!$A$1:$B$6,2,0)</f>
        <v>Staff</v>
      </c>
      <c r="F96" s="12">
        <v>45279</v>
      </c>
      <c r="G96" s="8" cm="1">
        <f t="array" ref="G96">INDEX('Tabel Acuan'!$F$4:$F$39,
MATCH(1,('Tabel Acuan'!$D$4:$D$39='Data Gaji Pegawai'!D96)*('Tabel Acuan'!$E$4:$E$39='Data Gaji Pegawai'!E96),0))</f>
        <v>5000000</v>
      </c>
      <c r="H96">
        <f>I96/100000</f>
        <v>38</v>
      </c>
      <c r="I96" s="14">
        <v>3800000</v>
      </c>
      <c r="J96">
        <f ca="1">INT((TODAY()-F96)/30.417)</f>
        <v>30</v>
      </c>
      <c r="K96" s="13">
        <f t="shared" ca="1" si="1"/>
        <v>0</v>
      </c>
      <c r="L96" s="8">
        <f>G96*3.7%</f>
        <v>185000.00000000003</v>
      </c>
      <c r="M96" s="8">
        <f>G96*2%</f>
        <v>100000</v>
      </c>
      <c r="N96" s="8">
        <f>G96*4%</f>
        <v>200000</v>
      </c>
      <c r="O96" s="8">
        <f>G96*1%</f>
        <v>50000</v>
      </c>
      <c r="P96">
        <v>15</v>
      </c>
      <c r="Q96" s="13">
        <f>P96*200000</f>
        <v>3000000</v>
      </c>
      <c r="R96" s="8">
        <v>0</v>
      </c>
      <c r="S96" s="9">
        <f>8%*G96</f>
        <v>400000</v>
      </c>
    </row>
    <row r="97" spans="1:19" x14ac:dyDescent="0.3">
      <c r="A97">
        <v>95</v>
      </c>
      <c r="B97" s="10" t="s">
        <v>236</v>
      </c>
      <c r="C97" s="10" t="s">
        <v>237</v>
      </c>
      <c r="D97" s="11" t="str">
        <f>VLOOKUP(MID(B97,6,1),'Tabel Acuan'!$A$10:$B$17,2,0)</f>
        <v>Logistics</v>
      </c>
      <c r="E97" t="str">
        <f>VLOOKUP(MID(B97,8,2),'Tabel Acuan'!$A$1:$B$6,2,0)</f>
        <v>Supervisor</v>
      </c>
      <c r="F97" s="12">
        <v>43137</v>
      </c>
      <c r="G97" s="8" cm="1">
        <f t="array" ref="G97">INDEX('Tabel Acuan'!$F$4:$F$39,
MATCH(1,('Tabel Acuan'!$D$4:$D$39='Data Gaji Pegawai'!D97)*('Tabel Acuan'!$E$4:$E$39='Data Gaji Pegawai'!E97),0))</f>
        <v>7500000</v>
      </c>
      <c r="H97">
        <f>I97/100000</f>
        <v>43</v>
      </c>
      <c r="I97" s="14">
        <v>4300000</v>
      </c>
      <c r="J97">
        <f ca="1">INT((TODAY()-F97)/30.417)</f>
        <v>100</v>
      </c>
      <c r="K97" s="13">
        <f t="shared" ca="1" si="1"/>
        <v>0</v>
      </c>
      <c r="L97" s="8">
        <f>G97*3.7%</f>
        <v>277500.00000000006</v>
      </c>
      <c r="M97" s="8">
        <f>G97*2%</f>
        <v>150000</v>
      </c>
      <c r="N97" s="8">
        <f>G97*4%</f>
        <v>300000</v>
      </c>
      <c r="O97" s="8">
        <f>G97*1%</f>
        <v>75000</v>
      </c>
      <c r="P97">
        <v>7</v>
      </c>
      <c r="Q97" s="13">
        <f>P97*200000</f>
        <v>1400000</v>
      </c>
      <c r="R97" s="8">
        <v>5000000</v>
      </c>
      <c r="S97" s="9">
        <f>8%*G97</f>
        <v>600000</v>
      </c>
    </row>
    <row r="98" spans="1:19" x14ac:dyDescent="0.3">
      <c r="A98">
        <v>96</v>
      </c>
      <c r="B98" s="10" t="s">
        <v>238</v>
      </c>
      <c r="C98" s="10" t="s">
        <v>239</v>
      </c>
      <c r="D98" s="11" t="str">
        <f>VLOOKUP(MID(B98,6,1),'Tabel Acuan'!$A$10:$B$17,2,0)</f>
        <v>Marketing</v>
      </c>
      <c r="E98" t="str">
        <f>VLOOKUP(MID(B98,8,2),'Tabel Acuan'!$A$1:$B$6,2,0)</f>
        <v>Senior Staff</v>
      </c>
      <c r="F98" s="12">
        <v>45716</v>
      </c>
      <c r="G98" s="8" cm="1">
        <f t="array" ref="G98">INDEX('Tabel Acuan'!$F$4:$F$39,
MATCH(1,('Tabel Acuan'!$D$4:$D$39='Data Gaji Pegawai'!D98)*('Tabel Acuan'!$E$4:$E$39='Data Gaji Pegawai'!E98),0))</f>
        <v>6400000</v>
      </c>
      <c r="H98">
        <f>I98/100000</f>
        <v>34</v>
      </c>
      <c r="I98" s="14">
        <v>3400000</v>
      </c>
      <c r="J98">
        <f ca="1">INT((TODAY()-F98)/30.417)</f>
        <v>16</v>
      </c>
      <c r="K98" s="13">
        <f t="shared" ca="1" si="1"/>
        <v>0</v>
      </c>
      <c r="L98" s="8">
        <f>G98*3.7%</f>
        <v>236800.00000000003</v>
      </c>
      <c r="M98" s="8">
        <f>G98*2%</f>
        <v>128000</v>
      </c>
      <c r="N98" s="8">
        <f>G98*4%</f>
        <v>256000</v>
      </c>
      <c r="O98" s="8">
        <f>G98*1%</f>
        <v>64000</v>
      </c>
      <c r="P98">
        <v>7</v>
      </c>
      <c r="Q98" s="13">
        <f>P98*200000</f>
        <v>1400000</v>
      </c>
      <c r="R98" s="8">
        <v>1000000</v>
      </c>
      <c r="S98" s="9">
        <f>8%*G98</f>
        <v>512000</v>
      </c>
    </row>
    <row r="99" spans="1:19" x14ac:dyDescent="0.3">
      <c r="A99">
        <v>97</v>
      </c>
      <c r="B99" s="10" t="s">
        <v>240</v>
      </c>
      <c r="C99" s="10" t="s">
        <v>241</v>
      </c>
      <c r="D99" s="11" t="str">
        <f>VLOOKUP(MID(B99,6,1),'Tabel Acuan'!$A$10:$B$17,2,0)</f>
        <v>Human Resources (HR)</v>
      </c>
      <c r="E99" t="str">
        <f>VLOOKUP(MID(B99,8,2),'Tabel Acuan'!$A$1:$B$6,2,0)</f>
        <v>Staff</v>
      </c>
      <c r="F99" s="12">
        <v>43027</v>
      </c>
      <c r="G99" s="8" cm="1">
        <f t="array" ref="G99">INDEX('Tabel Acuan'!$F$4:$F$39,
MATCH(1,('Tabel Acuan'!$D$4:$D$39='Data Gaji Pegawai'!D99)*('Tabel Acuan'!$E$4:$E$39='Data Gaji Pegawai'!E99),0))</f>
        <v>5000000</v>
      </c>
      <c r="H99">
        <f>I99/100000</f>
        <v>58</v>
      </c>
      <c r="I99" s="14">
        <v>5800000</v>
      </c>
      <c r="J99">
        <f ca="1">INT((TODAY()-F99)/30.417)</f>
        <v>104</v>
      </c>
      <c r="K99" s="13">
        <f t="shared" ca="1" si="1"/>
        <v>0</v>
      </c>
      <c r="L99" s="8">
        <f>G99*3.7%</f>
        <v>185000.00000000003</v>
      </c>
      <c r="M99" s="8">
        <f>G99*2%</f>
        <v>100000</v>
      </c>
      <c r="N99" s="8">
        <f>G99*4%</f>
        <v>200000</v>
      </c>
      <c r="O99" s="8">
        <f>G99*1%</f>
        <v>50000</v>
      </c>
      <c r="P99">
        <v>9</v>
      </c>
      <c r="Q99" s="13">
        <f>P99*200000</f>
        <v>1800000</v>
      </c>
      <c r="R99" s="8">
        <v>2000000</v>
      </c>
      <c r="S99" s="9">
        <f>8%*G99</f>
        <v>400000</v>
      </c>
    </row>
    <row r="100" spans="1:19" x14ac:dyDescent="0.3">
      <c r="A100">
        <v>98</v>
      </c>
      <c r="B100" s="10" t="s">
        <v>242</v>
      </c>
      <c r="C100" s="10" t="s">
        <v>243</v>
      </c>
      <c r="D100" s="11" t="str">
        <f>VLOOKUP(MID(B100,6,1),'Tabel Acuan'!$A$10:$B$17,2,0)</f>
        <v>Sales</v>
      </c>
      <c r="E100" t="str">
        <f>VLOOKUP(MID(B100,8,2),'Tabel Acuan'!$A$1:$B$6,2,0)</f>
        <v>Senior Staff</v>
      </c>
      <c r="F100" s="12">
        <v>43742</v>
      </c>
      <c r="G100" s="8" cm="1">
        <f t="array" ref="G100">INDEX('Tabel Acuan'!$F$4:$F$39,
MATCH(1,('Tabel Acuan'!$D$4:$D$39='Data Gaji Pegawai'!D100)*('Tabel Acuan'!$E$4:$E$39='Data Gaji Pegawai'!E100),0))</f>
        <v>6000000</v>
      </c>
      <c r="H100">
        <f>I100/100000</f>
        <v>31</v>
      </c>
      <c r="I100" s="14">
        <v>3100000</v>
      </c>
      <c r="J100">
        <f ca="1">INT((TODAY()-F100)/30.417)</f>
        <v>80</v>
      </c>
      <c r="K100" s="13">
        <f t="shared" ca="1" si="1"/>
        <v>0</v>
      </c>
      <c r="L100" s="8">
        <f>G100*3.7%</f>
        <v>222000.00000000003</v>
      </c>
      <c r="M100" s="8">
        <f>G100*2%</f>
        <v>120000</v>
      </c>
      <c r="N100" s="8">
        <f>G100*4%</f>
        <v>240000</v>
      </c>
      <c r="O100" s="8">
        <f>G100*1%</f>
        <v>60000</v>
      </c>
      <c r="P100">
        <v>14</v>
      </c>
      <c r="Q100" s="13">
        <f>P100*200000</f>
        <v>2800000</v>
      </c>
      <c r="R100" s="8">
        <v>0</v>
      </c>
      <c r="S100" s="9">
        <f>8%*G100</f>
        <v>480000</v>
      </c>
    </row>
    <row r="101" spans="1:19" x14ac:dyDescent="0.3">
      <c r="A101">
        <v>99</v>
      </c>
      <c r="B101" s="10" t="s">
        <v>244</v>
      </c>
      <c r="C101" s="10" t="s">
        <v>245</v>
      </c>
      <c r="D101" s="11" t="str">
        <f>VLOOKUP(MID(B101,6,1),'Tabel Acuan'!$A$10:$B$17,2,0)</f>
        <v>Information Technology (IT)</v>
      </c>
      <c r="E101" t="str">
        <f>VLOOKUP(MID(B101,8,2),'Tabel Acuan'!$A$1:$B$6,2,0)</f>
        <v>Supervisor</v>
      </c>
      <c r="F101" s="12">
        <v>42018</v>
      </c>
      <c r="G101" s="8" cm="1">
        <f t="array" ref="G101">INDEX('Tabel Acuan'!$F$4:$F$39,
MATCH(1,('Tabel Acuan'!$D$4:$D$39='Data Gaji Pegawai'!D101)*('Tabel Acuan'!$E$4:$E$39='Data Gaji Pegawai'!E101),0))</f>
        <v>9000000</v>
      </c>
      <c r="H101">
        <f>I101/100000</f>
        <v>5</v>
      </c>
      <c r="I101" s="14">
        <v>500000</v>
      </c>
      <c r="J101">
        <f ca="1">INT((TODAY()-F101)/30.417)</f>
        <v>137</v>
      </c>
      <c r="K101" s="13">
        <f t="shared" ca="1" si="1"/>
        <v>0</v>
      </c>
      <c r="L101" s="8">
        <f>G101*3.7%</f>
        <v>333000.00000000006</v>
      </c>
      <c r="M101" s="8">
        <f>G101*2%</f>
        <v>180000</v>
      </c>
      <c r="N101" s="8">
        <f>G101*4%</f>
        <v>360000</v>
      </c>
      <c r="O101" s="8">
        <f>G101*1%</f>
        <v>90000</v>
      </c>
      <c r="P101">
        <v>7</v>
      </c>
      <c r="Q101" s="13">
        <f>P101*200000</f>
        <v>1400000</v>
      </c>
      <c r="R101" s="8">
        <v>3000000</v>
      </c>
      <c r="S101" s="9">
        <f>8%*G101</f>
        <v>720000</v>
      </c>
    </row>
    <row r="102" spans="1:19" x14ac:dyDescent="0.3">
      <c r="A102">
        <v>100</v>
      </c>
      <c r="B102" s="10" t="s">
        <v>246</v>
      </c>
      <c r="C102" s="10" t="s">
        <v>247</v>
      </c>
      <c r="D102" s="11" t="str">
        <f>VLOOKUP(MID(B102,6,1),'Tabel Acuan'!$A$10:$B$17,2,0)</f>
        <v>Human Resources (HR)</v>
      </c>
      <c r="E102" t="str">
        <f>VLOOKUP(MID(B102,8,2),'Tabel Acuan'!$A$1:$B$6,2,0)</f>
        <v>Manager</v>
      </c>
      <c r="F102" s="12">
        <v>45587</v>
      </c>
      <c r="G102" s="8" cm="1">
        <f t="array" ref="G102">INDEX('Tabel Acuan'!$F$4:$F$39,
MATCH(1,('Tabel Acuan'!$D$4:$D$39='Data Gaji Pegawai'!D102)*('Tabel Acuan'!$E$4:$E$39='Data Gaji Pegawai'!E102),0))</f>
        <v>12000000</v>
      </c>
      <c r="H102">
        <f>I102/100000</f>
        <v>2</v>
      </c>
      <c r="I102" s="14">
        <v>200000</v>
      </c>
      <c r="J102">
        <f ca="1">INT((TODAY()-F102)/30.417)</f>
        <v>20</v>
      </c>
      <c r="K102" s="13">
        <f t="shared" ca="1" si="1"/>
        <v>0</v>
      </c>
      <c r="L102" s="8">
        <f>G102*3.7%</f>
        <v>444000.00000000006</v>
      </c>
      <c r="M102" s="8">
        <f>G102*2%</f>
        <v>240000</v>
      </c>
      <c r="N102" s="8">
        <f>G102*4%</f>
        <v>480000</v>
      </c>
      <c r="O102" s="8">
        <f>G102*1%</f>
        <v>120000</v>
      </c>
      <c r="P102">
        <v>5</v>
      </c>
      <c r="Q102" s="13">
        <f>P102*200000</f>
        <v>1000000</v>
      </c>
      <c r="R102" s="8">
        <v>3500000</v>
      </c>
      <c r="S102" s="9">
        <f>8%*G102</f>
        <v>960000</v>
      </c>
    </row>
    <row r="103" spans="1:19" x14ac:dyDescent="0.3">
      <c r="A103">
        <v>101</v>
      </c>
      <c r="B103" s="10" t="s">
        <v>248</v>
      </c>
      <c r="C103" s="10" t="s">
        <v>73</v>
      </c>
      <c r="D103" s="11" t="str">
        <f>VLOOKUP(MID(B103,6,1),'Tabel Acuan'!$A$10:$B$17,2,0)</f>
        <v>Logistics</v>
      </c>
      <c r="E103" t="str">
        <f>VLOOKUP(MID(B103,8,2),'Tabel Acuan'!$A$1:$B$6,2,0)</f>
        <v>Staff</v>
      </c>
      <c r="F103" s="12">
        <v>44887</v>
      </c>
      <c r="G103" s="8" cm="1">
        <f t="array" ref="G103">INDEX('Tabel Acuan'!$F$4:$F$39,
MATCH(1,('Tabel Acuan'!$D$4:$D$39='Data Gaji Pegawai'!D103)*('Tabel Acuan'!$E$4:$E$39='Data Gaji Pegawai'!E103),0))</f>
        <v>5200000</v>
      </c>
      <c r="H103">
        <f>I103/100000</f>
        <v>52</v>
      </c>
      <c r="I103" s="14">
        <v>5200000</v>
      </c>
      <c r="J103">
        <f ca="1">INT((TODAY()-F103)/30.417)</f>
        <v>43</v>
      </c>
      <c r="K103" s="13">
        <f t="shared" ca="1" si="1"/>
        <v>0</v>
      </c>
      <c r="L103" s="8">
        <f>G103*3.7%</f>
        <v>192400.00000000003</v>
      </c>
      <c r="M103" s="8">
        <f>G103*2%</f>
        <v>104000</v>
      </c>
      <c r="N103" s="8">
        <f>G103*4%</f>
        <v>208000</v>
      </c>
      <c r="O103" s="8">
        <f>G103*1%</f>
        <v>52000</v>
      </c>
      <c r="P103">
        <v>15</v>
      </c>
      <c r="Q103" s="13">
        <f>P103*200000</f>
        <v>3000000</v>
      </c>
      <c r="R103" s="8">
        <v>2000000</v>
      </c>
      <c r="S103" s="9">
        <f>8%*G103</f>
        <v>416000</v>
      </c>
    </row>
    <row r="104" spans="1:19" x14ac:dyDescent="0.3">
      <c r="A104">
        <v>102</v>
      </c>
      <c r="B104" s="10" t="s">
        <v>249</v>
      </c>
      <c r="C104" s="10" t="s">
        <v>250</v>
      </c>
      <c r="D104" s="11" t="str">
        <f>VLOOKUP(MID(B104,6,1),'Tabel Acuan'!$A$10:$B$17,2,0)</f>
        <v>Information Technology (IT)</v>
      </c>
      <c r="E104" t="str">
        <f>VLOOKUP(MID(B104,8,2),'Tabel Acuan'!$A$1:$B$6,2,0)</f>
        <v>Staff</v>
      </c>
      <c r="F104" s="12">
        <v>43913</v>
      </c>
      <c r="G104" s="8" cm="1">
        <f t="array" ref="G104">INDEX('Tabel Acuan'!$F$4:$F$39,
MATCH(1,('Tabel Acuan'!$D$4:$D$39='Data Gaji Pegawai'!D104)*('Tabel Acuan'!$E$4:$E$39='Data Gaji Pegawai'!E104),0))</f>
        <v>6000000</v>
      </c>
      <c r="H104">
        <f>I104/100000</f>
        <v>21</v>
      </c>
      <c r="I104" s="14">
        <v>2100000</v>
      </c>
      <c r="J104">
        <f ca="1">INT((TODAY()-F104)/30.417)</f>
        <v>75</v>
      </c>
      <c r="K104" s="13">
        <f t="shared" ca="1" si="1"/>
        <v>0</v>
      </c>
      <c r="L104" s="8">
        <f>G104*3.7%</f>
        <v>222000.00000000003</v>
      </c>
      <c r="M104" s="8">
        <f>G104*2%</f>
        <v>120000</v>
      </c>
      <c r="N104" s="8">
        <f>G104*4%</f>
        <v>240000</v>
      </c>
      <c r="O104" s="8">
        <f>G104*1%</f>
        <v>60000</v>
      </c>
      <c r="P104">
        <v>13</v>
      </c>
      <c r="Q104" s="13">
        <f>P104*200000</f>
        <v>2600000</v>
      </c>
      <c r="R104" s="8">
        <v>1000000</v>
      </c>
      <c r="S104" s="9">
        <f>8%*G104</f>
        <v>480000</v>
      </c>
    </row>
    <row r="105" spans="1:19" x14ac:dyDescent="0.3">
      <c r="A105">
        <v>103</v>
      </c>
      <c r="B105" s="10" t="s">
        <v>251</v>
      </c>
      <c r="C105" s="10" t="s">
        <v>252</v>
      </c>
      <c r="D105" s="11" t="str">
        <f>VLOOKUP(MID(B105,6,1),'Tabel Acuan'!$A$10:$B$17,2,0)</f>
        <v>Information Technology (IT)</v>
      </c>
      <c r="E105" t="str">
        <f>VLOOKUP(MID(B105,8,2),'Tabel Acuan'!$A$1:$B$6,2,0)</f>
        <v>Supervisor</v>
      </c>
      <c r="F105" s="12">
        <v>45890</v>
      </c>
      <c r="G105" s="8" cm="1">
        <f t="array" ref="G105">INDEX('Tabel Acuan'!$F$4:$F$39,
MATCH(1,('Tabel Acuan'!$D$4:$D$39='Data Gaji Pegawai'!D105)*('Tabel Acuan'!$E$4:$E$39='Data Gaji Pegawai'!E105),0))</f>
        <v>9000000</v>
      </c>
      <c r="H105">
        <f>I105/100000</f>
        <v>5</v>
      </c>
      <c r="I105" s="14">
        <v>500000</v>
      </c>
      <c r="J105">
        <f ca="1">INT((TODAY()-F105)/30.417)</f>
        <v>10</v>
      </c>
      <c r="K105" s="13">
        <f t="shared" ca="1" si="1"/>
        <v>0</v>
      </c>
      <c r="L105" s="8">
        <f>G105*3.7%</f>
        <v>333000.00000000006</v>
      </c>
      <c r="M105" s="8">
        <f>G105*2%</f>
        <v>180000</v>
      </c>
      <c r="N105" s="8">
        <f>G105*4%</f>
        <v>360000</v>
      </c>
      <c r="O105" s="8">
        <f>G105*1%</f>
        <v>90000</v>
      </c>
      <c r="P105">
        <v>10</v>
      </c>
      <c r="Q105" s="13">
        <f>P105*200000</f>
        <v>2000000</v>
      </c>
      <c r="R105" s="8">
        <v>0</v>
      </c>
      <c r="S105" s="9">
        <f>8%*G105</f>
        <v>720000</v>
      </c>
    </row>
    <row r="106" spans="1:19" x14ac:dyDescent="0.3">
      <c r="A106">
        <v>104</v>
      </c>
      <c r="B106" s="10" t="s">
        <v>253</v>
      </c>
      <c r="C106" s="10" t="s">
        <v>254</v>
      </c>
      <c r="D106" s="11" t="str">
        <f>VLOOKUP(MID(B106,6,1),'Tabel Acuan'!$A$10:$B$17,2,0)</f>
        <v>Operations</v>
      </c>
      <c r="E106" t="str">
        <f>VLOOKUP(MID(B106,8,2),'Tabel Acuan'!$A$1:$B$6,2,0)</f>
        <v>Senior Staff</v>
      </c>
      <c r="F106" s="12">
        <v>42706</v>
      </c>
      <c r="G106" s="8" cm="1">
        <f t="array" ref="G106">INDEX('Tabel Acuan'!$F$4:$F$39,
MATCH(1,('Tabel Acuan'!$D$4:$D$39='Data Gaji Pegawai'!D106)*('Tabel Acuan'!$E$4:$E$39='Data Gaji Pegawai'!E106),0))</f>
        <v>6300000</v>
      </c>
      <c r="H106">
        <f>I106/100000</f>
        <v>55</v>
      </c>
      <c r="I106" s="14">
        <v>5500000</v>
      </c>
      <c r="J106">
        <f ca="1">INT((TODAY()-F106)/30.417)</f>
        <v>115</v>
      </c>
      <c r="K106" s="13">
        <f t="shared" ca="1" si="1"/>
        <v>0</v>
      </c>
      <c r="L106" s="8">
        <f>G106*3.7%</f>
        <v>233100.00000000003</v>
      </c>
      <c r="M106" s="8">
        <f>G106*2%</f>
        <v>126000</v>
      </c>
      <c r="N106" s="8">
        <f>G106*4%</f>
        <v>252000</v>
      </c>
      <c r="O106" s="8">
        <f>G106*1%</f>
        <v>63000</v>
      </c>
      <c r="P106">
        <v>14</v>
      </c>
      <c r="Q106" s="13">
        <f>P106*200000</f>
        <v>2800000</v>
      </c>
      <c r="R106" s="8">
        <v>750000</v>
      </c>
      <c r="S106" s="9">
        <f>8%*G106</f>
        <v>504000</v>
      </c>
    </row>
    <row r="107" spans="1:19" x14ac:dyDescent="0.3">
      <c r="A107">
        <v>105</v>
      </c>
      <c r="B107" s="10" t="s">
        <v>255</v>
      </c>
      <c r="C107" s="10" t="s">
        <v>256</v>
      </c>
      <c r="D107" s="11" t="str">
        <f>VLOOKUP(MID(B107,6,1),'Tabel Acuan'!$A$10:$B$17,2,0)</f>
        <v>Logistics</v>
      </c>
      <c r="E107" t="str">
        <f>VLOOKUP(MID(B107,8,2),'Tabel Acuan'!$A$1:$B$6,2,0)</f>
        <v>Senior Staff</v>
      </c>
      <c r="F107" s="12">
        <v>45153</v>
      </c>
      <c r="G107" s="8" cm="1">
        <f t="array" ref="G107">INDEX('Tabel Acuan'!$F$4:$F$39,
MATCH(1,('Tabel Acuan'!$D$4:$D$39='Data Gaji Pegawai'!D107)*('Tabel Acuan'!$E$4:$E$39='Data Gaji Pegawai'!E107),0))</f>
        <v>6250000</v>
      </c>
      <c r="H107">
        <f>I107/100000</f>
        <v>48</v>
      </c>
      <c r="I107" s="14">
        <v>4800000</v>
      </c>
      <c r="J107">
        <f ca="1">INT((TODAY()-F107)/30.417)</f>
        <v>34</v>
      </c>
      <c r="K107" s="13">
        <f t="shared" ca="1" si="1"/>
        <v>0</v>
      </c>
      <c r="L107" s="8">
        <f>G107*3.7%</f>
        <v>231250.00000000003</v>
      </c>
      <c r="M107" s="8">
        <f>G107*2%</f>
        <v>125000</v>
      </c>
      <c r="N107" s="8">
        <f>G107*4%</f>
        <v>250000</v>
      </c>
      <c r="O107" s="8">
        <f>G107*1%</f>
        <v>62500</v>
      </c>
      <c r="P107">
        <v>1</v>
      </c>
      <c r="Q107" s="13">
        <f>P107*200000</f>
        <v>200000</v>
      </c>
      <c r="R107" s="8">
        <v>0</v>
      </c>
      <c r="S107" s="9">
        <f>8%*G107</f>
        <v>500000</v>
      </c>
    </row>
    <row r="108" spans="1:19" x14ac:dyDescent="0.3">
      <c r="A108">
        <v>106</v>
      </c>
      <c r="B108" s="10" t="s">
        <v>257</v>
      </c>
      <c r="C108" s="10" t="s">
        <v>258</v>
      </c>
      <c r="D108" s="11" t="str">
        <f>VLOOKUP(MID(B108,6,1),'Tabel Acuan'!$A$10:$B$17,2,0)</f>
        <v>Finance</v>
      </c>
      <c r="E108" t="str">
        <f>VLOOKUP(MID(B108,8,2),'Tabel Acuan'!$A$1:$B$6,2,0)</f>
        <v>Assistant Manager</v>
      </c>
      <c r="F108" s="12">
        <v>45175</v>
      </c>
      <c r="G108" s="8" cm="1">
        <f t="array" ref="G108">INDEX('Tabel Acuan'!$F$4:$F$39,
MATCH(1,('Tabel Acuan'!$D$4:$D$39='Data Gaji Pegawai'!D108)*('Tabel Acuan'!$E$4:$E$39='Data Gaji Pegawai'!E108),0))</f>
        <v>10000000</v>
      </c>
      <c r="H108">
        <f>I108/100000</f>
        <v>7</v>
      </c>
      <c r="I108" s="14">
        <v>700000</v>
      </c>
      <c r="J108">
        <f ca="1">INT((TODAY()-F108)/30.417)</f>
        <v>33</v>
      </c>
      <c r="K108" s="13">
        <f t="shared" ca="1" si="1"/>
        <v>0</v>
      </c>
      <c r="L108" s="8">
        <f>G108*3.7%</f>
        <v>370000.00000000006</v>
      </c>
      <c r="M108" s="8">
        <f>G108*2%</f>
        <v>200000</v>
      </c>
      <c r="N108" s="8">
        <f>G108*4%</f>
        <v>400000</v>
      </c>
      <c r="O108" s="8">
        <f>G108*1%</f>
        <v>100000</v>
      </c>
      <c r="P108">
        <v>0</v>
      </c>
      <c r="Q108" s="13">
        <f>P108*200000</f>
        <v>0</v>
      </c>
      <c r="R108" s="8">
        <v>3000000</v>
      </c>
      <c r="S108" s="9">
        <f>8%*G108</f>
        <v>800000</v>
      </c>
    </row>
    <row r="109" spans="1:19" x14ac:dyDescent="0.3">
      <c r="A109">
        <v>107</v>
      </c>
      <c r="B109" s="10" t="s">
        <v>259</v>
      </c>
      <c r="C109" s="10" t="s">
        <v>154</v>
      </c>
      <c r="D109" s="11" t="str">
        <f>VLOOKUP(MID(B109,6,1),'Tabel Acuan'!$A$10:$B$17,2,0)</f>
        <v>Sales</v>
      </c>
      <c r="E109" t="str">
        <f>VLOOKUP(MID(B109,8,2),'Tabel Acuan'!$A$1:$B$6,2,0)</f>
        <v>Staff</v>
      </c>
      <c r="F109" s="12">
        <v>43383</v>
      </c>
      <c r="G109" s="8" cm="1">
        <f t="array" ref="G109">INDEX('Tabel Acuan'!$F$4:$F$39,
MATCH(1,('Tabel Acuan'!$D$4:$D$39='Data Gaji Pegawai'!D109)*('Tabel Acuan'!$E$4:$E$39='Data Gaji Pegawai'!E109),0))</f>
        <v>5000000</v>
      </c>
      <c r="H109">
        <f>I109/100000</f>
        <v>26</v>
      </c>
      <c r="I109" s="14">
        <v>2600000</v>
      </c>
      <c r="J109">
        <f ca="1">INT((TODAY()-F109)/30.417)</f>
        <v>92</v>
      </c>
      <c r="K109" s="13">
        <f t="shared" ca="1" si="1"/>
        <v>0</v>
      </c>
      <c r="L109" s="8">
        <f>G109*3.7%</f>
        <v>185000.00000000003</v>
      </c>
      <c r="M109" s="8">
        <f>G109*2%</f>
        <v>100000</v>
      </c>
      <c r="N109" s="8">
        <f>G109*4%</f>
        <v>200000</v>
      </c>
      <c r="O109" s="8">
        <f>G109*1%</f>
        <v>50000</v>
      </c>
      <c r="P109">
        <v>2</v>
      </c>
      <c r="Q109" s="13">
        <f>P109*200000</f>
        <v>400000</v>
      </c>
      <c r="R109" s="8">
        <v>0</v>
      </c>
      <c r="S109" s="9">
        <f>8%*G109</f>
        <v>400000</v>
      </c>
    </row>
    <row r="110" spans="1:19" x14ac:dyDescent="0.3">
      <c r="A110">
        <v>108</v>
      </c>
      <c r="B110" s="10" t="s">
        <v>260</v>
      </c>
      <c r="C110" s="10" t="s">
        <v>261</v>
      </c>
      <c r="D110" s="11" t="str">
        <f>VLOOKUP(MID(B110,6,1),'Tabel Acuan'!$A$10:$B$17,2,0)</f>
        <v>Information Technology (IT)</v>
      </c>
      <c r="E110" t="str">
        <f>VLOOKUP(MID(B110,8,2),'Tabel Acuan'!$A$1:$B$6,2,0)</f>
        <v>Manager</v>
      </c>
      <c r="F110" s="12">
        <v>42625</v>
      </c>
      <c r="G110" s="8" cm="1">
        <f t="array" ref="G110">INDEX('Tabel Acuan'!$F$4:$F$39,
MATCH(1,('Tabel Acuan'!$D$4:$D$39='Data Gaji Pegawai'!D110)*('Tabel Acuan'!$E$4:$E$39='Data Gaji Pegawai'!E110),0))</f>
        <v>15000000</v>
      </c>
      <c r="H110">
        <f>I110/100000</f>
        <v>59</v>
      </c>
      <c r="I110" s="14">
        <v>5900000</v>
      </c>
      <c r="J110">
        <f ca="1">INT((TODAY()-F110)/30.417)</f>
        <v>117</v>
      </c>
      <c r="K110" s="13">
        <f t="shared" ca="1" si="1"/>
        <v>0</v>
      </c>
      <c r="L110" s="8">
        <f>G110*3.7%</f>
        <v>555000.00000000012</v>
      </c>
      <c r="M110" s="8">
        <f>G110*2%</f>
        <v>300000</v>
      </c>
      <c r="N110" s="8">
        <f>G110*4%</f>
        <v>600000</v>
      </c>
      <c r="O110" s="8">
        <f>G110*1%</f>
        <v>150000</v>
      </c>
      <c r="P110">
        <v>9</v>
      </c>
      <c r="Q110" s="13">
        <f>P110*200000</f>
        <v>1800000</v>
      </c>
      <c r="R110" s="8">
        <v>1000000</v>
      </c>
      <c r="S110" s="9">
        <f>8%*G110</f>
        <v>1200000</v>
      </c>
    </row>
    <row r="111" spans="1:19" x14ac:dyDescent="0.3">
      <c r="A111">
        <v>109</v>
      </c>
      <c r="B111" s="10" t="s">
        <v>262</v>
      </c>
      <c r="C111" s="10" t="s">
        <v>263</v>
      </c>
      <c r="D111" s="11" t="str">
        <f>VLOOKUP(MID(B111,6,1),'Tabel Acuan'!$A$10:$B$17,2,0)</f>
        <v>Operations</v>
      </c>
      <c r="E111" t="str">
        <f>VLOOKUP(MID(B111,8,2),'Tabel Acuan'!$A$1:$B$6,2,0)</f>
        <v>Senior Staff</v>
      </c>
      <c r="F111" s="12">
        <v>44430</v>
      </c>
      <c r="G111" s="8" cm="1">
        <f t="array" ref="G111">INDEX('Tabel Acuan'!$F$4:$F$39,
MATCH(1,('Tabel Acuan'!$D$4:$D$39='Data Gaji Pegawai'!D111)*('Tabel Acuan'!$E$4:$E$39='Data Gaji Pegawai'!E111),0))</f>
        <v>6300000</v>
      </c>
      <c r="H111">
        <f>I111/100000</f>
        <v>35</v>
      </c>
      <c r="I111" s="14">
        <v>3500000</v>
      </c>
      <c r="J111">
        <f ca="1">INT((TODAY()-F111)/30.417)</f>
        <v>58</v>
      </c>
      <c r="K111" s="13">
        <f t="shared" ca="1" si="1"/>
        <v>0</v>
      </c>
      <c r="L111" s="8">
        <f>G111*3.7%</f>
        <v>233100.00000000003</v>
      </c>
      <c r="M111" s="8">
        <f>G111*2%</f>
        <v>126000</v>
      </c>
      <c r="N111" s="8">
        <f>G111*4%</f>
        <v>252000</v>
      </c>
      <c r="O111" s="8">
        <f>G111*1%</f>
        <v>63000</v>
      </c>
      <c r="P111">
        <v>4</v>
      </c>
      <c r="Q111" s="13">
        <f>P111*200000</f>
        <v>800000</v>
      </c>
      <c r="R111" s="8">
        <v>3000000</v>
      </c>
      <c r="S111" s="9">
        <f>8%*G111</f>
        <v>504000</v>
      </c>
    </row>
    <row r="112" spans="1:19" x14ac:dyDescent="0.3">
      <c r="A112">
        <v>110</v>
      </c>
      <c r="B112" s="10" t="s">
        <v>264</v>
      </c>
      <c r="C112" s="10" t="s">
        <v>265</v>
      </c>
      <c r="D112" s="11" t="str">
        <f>VLOOKUP(MID(B112,6,1),'Tabel Acuan'!$A$10:$B$17,2,0)</f>
        <v>Sales</v>
      </c>
      <c r="E112" t="str">
        <f>VLOOKUP(MID(B112,8,2),'Tabel Acuan'!$A$1:$B$6,2,0)</f>
        <v>Assistant Manager</v>
      </c>
      <c r="F112" s="12">
        <v>45139</v>
      </c>
      <c r="G112" s="8" cm="1">
        <f t="array" ref="G112">INDEX('Tabel Acuan'!$F$4:$F$39,
MATCH(1,('Tabel Acuan'!$D$4:$D$39='Data Gaji Pegawai'!D112)*('Tabel Acuan'!$E$4:$E$39='Data Gaji Pegawai'!E112),0))</f>
        <v>9500000</v>
      </c>
      <c r="H112">
        <f>I112/100000</f>
        <v>21</v>
      </c>
      <c r="I112" s="14">
        <v>2100000</v>
      </c>
      <c r="J112">
        <f ca="1">INT((TODAY()-F112)/30.417)</f>
        <v>35</v>
      </c>
      <c r="K112" s="13">
        <f t="shared" ca="1" si="1"/>
        <v>0</v>
      </c>
      <c r="L112" s="8">
        <f>G112*3.7%</f>
        <v>351500.00000000006</v>
      </c>
      <c r="M112" s="8">
        <f>G112*2%</f>
        <v>190000</v>
      </c>
      <c r="N112" s="8">
        <f>G112*4%</f>
        <v>380000</v>
      </c>
      <c r="O112" s="8">
        <f>G112*1%</f>
        <v>95000</v>
      </c>
      <c r="P112">
        <v>8</v>
      </c>
      <c r="Q112" s="13">
        <f>P112*200000</f>
        <v>1600000</v>
      </c>
      <c r="R112" s="8">
        <v>1000000</v>
      </c>
      <c r="S112" s="9">
        <f>8%*G112</f>
        <v>760000</v>
      </c>
    </row>
    <row r="113" spans="1:19" x14ac:dyDescent="0.3">
      <c r="A113">
        <v>111</v>
      </c>
      <c r="B113" s="10" t="s">
        <v>266</v>
      </c>
      <c r="C113" s="10" t="s">
        <v>267</v>
      </c>
      <c r="D113" s="11" t="str">
        <f>VLOOKUP(MID(B113,6,1),'Tabel Acuan'!$A$10:$B$17,2,0)</f>
        <v>Operations</v>
      </c>
      <c r="E113" t="str">
        <f>VLOOKUP(MID(B113,8,2),'Tabel Acuan'!$A$1:$B$6,2,0)</f>
        <v>Senior Staff</v>
      </c>
      <c r="F113" s="12">
        <v>43542</v>
      </c>
      <c r="G113" s="8" cm="1">
        <f t="array" ref="G113">INDEX('Tabel Acuan'!$F$4:$F$39,
MATCH(1,('Tabel Acuan'!$D$4:$D$39='Data Gaji Pegawai'!D113)*('Tabel Acuan'!$E$4:$E$39='Data Gaji Pegawai'!E113),0))</f>
        <v>6300000</v>
      </c>
      <c r="H113">
        <f>I113/100000</f>
        <v>28</v>
      </c>
      <c r="I113" s="14">
        <v>2800000</v>
      </c>
      <c r="J113">
        <f ca="1">INT((TODAY()-F113)/30.417)</f>
        <v>87</v>
      </c>
      <c r="K113" s="13">
        <f t="shared" ca="1" si="1"/>
        <v>0</v>
      </c>
      <c r="L113" s="8">
        <f>G113*3.7%</f>
        <v>233100.00000000003</v>
      </c>
      <c r="M113" s="8">
        <f>G113*2%</f>
        <v>126000</v>
      </c>
      <c r="N113" s="8">
        <f>G113*4%</f>
        <v>252000</v>
      </c>
      <c r="O113" s="8">
        <f>G113*1%</f>
        <v>63000</v>
      </c>
      <c r="P113">
        <v>15</v>
      </c>
      <c r="Q113" s="13">
        <f>P113*200000</f>
        <v>3000000</v>
      </c>
      <c r="R113" s="8">
        <v>0</v>
      </c>
      <c r="S113" s="9">
        <f>8%*G113</f>
        <v>504000</v>
      </c>
    </row>
    <row r="114" spans="1:19" x14ac:dyDescent="0.3">
      <c r="A114">
        <v>112</v>
      </c>
      <c r="B114" s="10" t="s">
        <v>268</v>
      </c>
      <c r="C114" s="10" t="s">
        <v>269</v>
      </c>
      <c r="D114" s="11" t="str">
        <f>VLOOKUP(MID(B114,6,1),'Tabel Acuan'!$A$10:$B$17,2,0)</f>
        <v>Operations</v>
      </c>
      <c r="E114" t="str">
        <f>VLOOKUP(MID(B114,8,2),'Tabel Acuan'!$A$1:$B$6,2,0)</f>
        <v>Senior Staff</v>
      </c>
      <c r="F114" s="12">
        <v>45023</v>
      </c>
      <c r="G114" s="8" cm="1">
        <f t="array" ref="G114">INDEX('Tabel Acuan'!$F$4:$F$39,
MATCH(1,('Tabel Acuan'!$D$4:$D$39='Data Gaji Pegawai'!D114)*('Tabel Acuan'!$E$4:$E$39='Data Gaji Pegawai'!E114),0))</f>
        <v>6300000</v>
      </c>
      <c r="H114">
        <f>I114/100000</f>
        <v>44</v>
      </c>
      <c r="I114" s="14">
        <v>4400000</v>
      </c>
      <c r="J114">
        <f ca="1">INT((TODAY()-F114)/30.417)</f>
        <v>38</v>
      </c>
      <c r="K114" s="13">
        <f t="shared" ca="1" si="1"/>
        <v>0</v>
      </c>
      <c r="L114" s="8">
        <f>G114*3.7%</f>
        <v>233100.00000000003</v>
      </c>
      <c r="M114" s="8">
        <f>G114*2%</f>
        <v>126000</v>
      </c>
      <c r="N114" s="8">
        <f>G114*4%</f>
        <v>252000</v>
      </c>
      <c r="O114" s="8">
        <f>G114*1%</f>
        <v>63000</v>
      </c>
      <c r="P114">
        <v>7</v>
      </c>
      <c r="Q114" s="13">
        <f>P114*200000</f>
        <v>1400000</v>
      </c>
      <c r="R114" s="8">
        <v>750000</v>
      </c>
      <c r="S114" s="9">
        <f>8%*G114</f>
        <v>504000</v>
      </c>
    </row>
    <row r="115" spans="1:19" x14ac:dyDescent="0.3">
      <c r="A115">
        <v>113</v>
      </c>
      <c r="B115" s="10" t="s">
        <v>270</v>
      </c>
      <c r="C115" s="10" t="s">
        <v>271</v>
      </c>
      <c r="D115" s="11" t="str">
        <f>VLOOKUP(MID(B115,6,1),'Tabel Acuan'!$A$10:$B$17,2,0)</f>
        <v>Human Resources (HR)</v>
      </c>
      <c r="E115" t="str">
        <f>VLOOKUP(MID(B115,8,2),'Tabel Acuan'!$A$1:$B$6,2,0)</f>
        <v>Staff</v>
      </c>
      <c r="F115" s="12">
        <v>44392</v>
      </c>
      <c r="G115" s="8" cm="1">
        <f t="array" ref="G115">INDEX('Tabel Acuan'!$F$4:$F$39,
MATCH(1,('Tabel Acuan'!$D$4:$D$39='Data Gaji Pegawai'!D115)*('Tabel Acuan'!$E$4:$E$39='Data Gaji Pegawai'!E115),0))</f>
        <v>5000000</v>
      </c>
      <c r="H115">
        <f>I115/100000</f>
        <v>24</v>
      </c>
      <c r="I115" s="14">
        <v>2400000</v>
      </c>
      <c r="J115">
        <f ca="1">INT((TODAY()-F115)/30.417)</f>
        <v>59</v>
      </c>
      <c r="K115" s="13">
        <f t="shared" ca="1" si="1"/>
        <v>0</v>
      </c>
      <c r="L115" s="8">
        <f>G115*3.7%</f>
        <v>185000.00000000003</v>
      </c>
      <c r="M115" s="8">
        <f>G115*2%</f>
        <v>100000</v>
      </c>
      <c r="N115" s="8">
        <f>G115*4%</f>
        <v>200000</v>
      </c>
      <c r="O115" s="8">
        <f>G115*1%</f>
        <v>50000</v>
      </c>
      <c r="P115">
        <v>4</v>
      </c>
      <c r="Q115" s="13">
        <f>P115*200000</f>
        <v>800000</v>
      </c>
      <c r="R115" s="8">
        <v>250000</v>
      </c>
      <c r="S115" s="9">
        <f>8%*G115</f>
        <v>400000</v>
      </c>
    </row>
    <row r="116" spans="1:19" x14ac:dyDescent="0.3">
      <c r="A116">
        <v>114</v>
      </c>
      <c r="B116" s="10" t="s">
        <v>272</v>
      </c>
      <c r="C116" s="10" t="s">
        <v>273</v>
      </c>
      <c r="D116" s="11" t="str">
        <f>VLOOKUP(MID(B116,6,1),'Tabel Acuan'!$A$10:$B$17,2,0)</f>
        <v>Marketing</v>
      </c>
      <c r="E116" t="str">
        <f>VLOOKUP(MID(B116,8,2),'Tabel Acuan'!$A$1:$B$6,2,0)</f>
        <v>Manager</v>
      </c>
      <c r="F116" s="12">
        <v>42961</v>
      </c>
      <c r="G116" s="8" cm="1">
        <f t="array" ref="G116">INDEX('Tabel Acuan'!$F$4:$F$39,
MATCH(1,('Tabel Acuan'!$D$4:$D$39='Data Gaji Pegawai'!D116)*('Tabel Acuan'!$E$4:$E$39='Data Gaji Pegawai'!E116),0))</f>
        <v>13000000</v>
      </c>
      <c r="H116">
        <f>I116/100000</f>
        <v>6</v>
      </c>
      <c r="I116" s="14">
        <v>600000</v>
      </c>
      <c r="J116">
        <f ca="1">INT((TODAY()-F116)/30.417)</f>
        <v>106</v>
      </c>
      <c r="K116" s="13">
        <f t="shared" ca="1" si="1"/>
        <v>0</v>
      </c>
      <c r="L116" s="8">
        <f>G116*3.7%</f>
        <v>481000.00000000006</v>
      </c>
      <c r="M116" s="8">
        <f>G116*2%</f>
        <v>260000</v>
      </c>
      <c r="N116" s="8">
        <f>G116*4%</f>
        <v>520000</v>
      </c>
      <c r="O116" s="8">
        <f>G116*1%</f>
        <v>130000</v>
      </c>
      <c r="P116">
        <v>14</v>
      </c>
      <c r="Q116" s="13">
        <f>P116*200000</f>
        <v>2800000</v>
      </c>
      <c r="R116" s="8">
        <v>0</v>
      </c>
      <c r="S116" s="9">
        <f>8%*G116</f>
        <v>1040000</v>
      </c>
    </row>
    <row r="117" spans="1:19" x14ac:dyDescent="0.3">
      <c r="A117">
        <v>115</v>
      </c>
      <c r="B117" s="10" t="s">
        <v>274</v>
      </c>
      <c r="C117" s="10" t="s">
        <v>275</v>
      </c>
      <c r="D117" s="11" t="str">
        <f>VLOOKUP(MID(B117,6,1),'Tabel Acuan'!$A$10:$B$17,2,0)</f>
        <v>Information Technology (IT)</v>
      </c>
      <c r="E117" t="str">
        <f>VLOOKUP(MID(B117,8,2),'Tabel Acuan'!$A$1:$B$6,2,0)</f>
        <v>Assistant Manager</v>
      </c>
      <c r="F117" s="12">
        <v>42976</v>
      </c>
      <c r="G117" s="8" cm="1">
        <f t="array" ref="G117">INDEX('Tabel Acuan'!$F$4:$F$39,
MATCH(1,('Tabel Acuan'!$D$4:$D$39='Data Gaji Pegawai'!D117)*('Tabel Acuan'!$E$4:$E$39='Data Gaji Pegawai'!E117),0))</f>
        <v>11500000</v>
      </c>
      <c r="H117">
        <f>I117/100000</f>
        <v>50</v>
      </c>
      <c r="I117" s="14">
        <v>5000000</v>
      </c>
      <c r="J117">
        <f ca="1">INT((TODAY()-F117)/30.417)</f>
        <v>106</v>
      </c>
      <c r="K117" s="13">
        <f t="shared" ca="1" si="1"/>
        <v>0</v>
      </c>
      <c r="L117" s="8">
        <f>G117*3.7%</f>
        <v>425500.00000000006</v>
      </c>
      <c r="M117" s="8">
        <f>G117*2%</f>
        <v>230000</v>
      </c>
      <c r="N117" s="8">
        <f>G117*4%</f>
        <v>460000</v>
      </c>
      <c r="O117" s="8">
        <f>G117*1%</f>
        <v>115000</v>
      </c>
      <c r="P117">
        <v>8</v>
      </c>
      <c r="Q117" s="13">
        <f>P117*200000</f>
        <v>1600000</v>
      </c>
      <c r="R117" s="8">
        <v>0</v>
      </c>
      <c r="S117" s="9">
        <f>8%*G117</f>
        <v>920000</v>
      </c>
    </row>
    <row r="118" spans="1:19" x14ac:dyDescent="0.3">
      <c r="A118">
        <v>116</v>
      </c>
      <c r="B118" s="10" t="s">
        <v>276</v>
      </c>
      <c r="C118" s="10" t="s">
        <v>277</v>
      </c>
      <c r="D118" s="11" t="str">
        <f>VLOOKUP(MID(B118,6,1),'Tabel Acuan'!$A$10:$B$17,2,0)</f>
        <v>Sales</v>
      </c>
      <c r="E118" t="str">
        <f>VLOOKUP(MID(B118,8,2),'Tabel Acuan'!$A$1:$B$6,2,0)</f>
        <v>Staff</v>
      </c>
      <c r="F118" s="12">
        <v>44470</v>
      </c>
      <c r="G118" s="8" cm="1">
        <f t="array" ref="G118">INDEX('Tabel Acuan'!$F$4:$F$39,
MATCH(1,('Tabel Acuan'!$D$4:$D$39='Data Gaji Pegawai'!D118)*('Tabel Acuan'!$E$4:$E$39='Data Gaji Pegawai'!E118),0))</f>
        <v>5000000</v>
      </c>
      <c r="H118">
        <f>I118/100000</f>
        <v>24</v>
      </c>
      <c r="I118" s="14">
        <v>2400000</v>
      </c>
      <c r="J118">
        <f ca="1">INT((TODAY()-F118)/30.417)</f>
        <v>57</v>
      </c>
      <c r="K118" s="13">
        <f t="shared" ca="1" si="1"/>
        <v>0</v>
      </c>
      <c r="L118" s="8">
        <f>G118*3.7%</f>
        <v>185000.00000000003</v>
      </c>
      <c r="M118" s="8">
        <f>G118*2%</f>
        <v>100000</v>
      </c>
      <c r="N118" s="8">
        <f>G118*4%</f>
        <v>200000</v>
      </c>
      <c r="O118" s="8">
        <f>G118*1%</f>
        <v>50000</v>
      </c>
      <c r="P118">
        <v>10</v>
      </c>
      <c r="Q118" s="13">
        <f>P118*200000</f>
        <v>2000000</v>
      </c>
      <c r="R118" s="8">
        <v>5000000</v>
      </c>
      <c r="S118" s="9">
        <f>8%*G118</f>
        <v>400000</v>
      </c>
    </row>
    <row r="119" spans="1:19" x14ac:dyDescent="0.3">
      <c r="A119">
        <v>117</v>
      </c>
      <c r="B119" s="10" t="s">
        <v>278</v>
      </c>
      <c r="C119" s="10" t="s">
        <v>279</v>
      </c>
      <c r="D119" s="11" t="str">
        <f>VLOOKUP(MID(B119,6,1),'Tabel Acuan'!$A$10:$B$17,2,0)</f>
        <v>Operations</v>
      </c>
      <c r="E119" t="str">
        <f>VLOOKUP(MID(B119,8,2),'Tabel Acuan'!$A$1:$B$6,2,0)</f>
        <v>Senior Staff</v>
      </c>
      <c r="F119" s="12">
        <v>44682</v>
      </c>
      <c r="G119" s="8" cm="1">
        <f t="array" ref="G119">INDEX('Tabel Acuan'!$F$4:$F$39,
MATCH(1,('Tabel Acuan'!$D$4:$D$39='Data Gaji Pegawai'!D119)*('Tabel Acuan'!$E$4:$E$39='Data Gaji Pegawai'!E119),0))</f>
        <v>6300000</v>
      </c>
      <c r="H119">
        <f>I119/100000</f>
        <v>40</v>
      </c>
      <c r="I119" s="14">
        <v>4000000</v>
      </c>
      <c r="J119">
        <f ca="1">INT((TODAY()-F119)/30.417)</f>
        <v>50</v>
      </c>
      <c r="K119" s="13">
        <f t="shared" ca="1" si="1"/>
        <v>0</v>
      </c>
      <c r="L119" s="8">
        <f>G119*3.7%</f>
        <v>233100.00000000003</v>
      </c>
      <c r="M119" s="8">
        <f>G119*2%</f>
        <v>126000</v>
      </c>
      <c r="N119" s="8">
        <f>G119*4%</f>
        <v>252000</v>
      </c>
      <c r="O119" s="8">
        <f>G119*1%</f>
        <v>63000</v>
      </c>
      <c r="P119">
        <v>9</v>
      </c>
      <c r="Q119" s="13">
        <f>P119*200000</f>
        <v>1800000</v>
      </c>
      <c r="R119" s="8">
        <v>4000000</v>
      </c>
      <c r="S119" s="9">
        <f>8%*G119</f>
        <v>504000</v>
      </c>
    </row>
    <row r="120" spans="1:19" x14ac:dyDescent="0.3">
      <c r="A120">
        <v>118</v>
      </c>
      <c r="B120" s="10" t="s">
        <v>280</v>
      </c>
      <c r="C120" s="10" t="s">
        <v>281</v>
      </c>
      <c r="D120" s="11" t="str">
        <f>VLOOKUP(MID(B120,6,1),'Tabel Acuan'!$A$10:$B$17,2,0)</f>
        <v>Information Technology (IT)</v>
      </c>
      <c r="E120" t="str">
        <f>VLOOKUP(MID(B120,8,2),'Tabel Acuan'!$A$1:$B$6,2,0)</f>
        <v>Manager</v>
      </c>
      <c r="F120" s="12">
        <v>42730</v>
      </c>
      <c r="G120" s="8" cm="1">
        <f t="array" ref="G120">INDEX('Tabel Acuan'!$F$4:$F$39,
MATCH(1,('Tabel Acuan'!$D$4:$D$39='Data Gaji Pegawai'!D120)*('Tabel Acuan'!$E$4:$E$39='Data Gaji Pegawai'!E120),0))</f>
        <v>15000000</v>
      </c>
      <c r="H120">
        <f>I120/100000</f>
        <v>55</v>
      </c>
      <c r="I120" s="14">
        <v>5500000</v>
      </c>
      <c r="J120">
        <f ca="1">INT((TODAY()-F120)/30.417)</f>
        <v>114</v>
      </c>
      <c r="K120" s="13">
        <f t="shared" ca="1" si="1"/>
        <v>0</v>
      </c>
      <c r="L120" s="8">
        <f>G120*3.7%</f>
        <v>555000.00000000012</v>
      </c>
      <c r="M120" s="8">
        <f>G120*2%</f>
        <v>300000</v>
      </c>
      <c r="N120" s="8">
        <f>G120*4%</f>
        <v>600000</v>
      </c>
      <c r="O120" s="8">
        <f>G120*1%</f>
        <v>150000</v>
      </c>
      <c r="P120">
        <v>3</v>
      </c>
      <c r="Q120" s="13">
        <f>P120*200000</f>
        <v>600000</v>
      </c>
      <c r="R120" s="8">
        <v>4000000</v>
      </c>
      <c r="S120" s="9">
        <f>8%*G120</f>
        <v>1200000</v>
      </c>
    </row>
    <row r="121" spans="1:19" x14ac:dyDescent="0.3">
      <c r="A121">
        <v>119</v>
      </c>
      <c r="B121" s="10" t="s">
        <v>282</v>
      </c>
      <c r="C121" s="10" t="s">
        <v>283</v>
      </c>
      <c r="D121" s="11" t="str">
        <f>VLOOKUP(MID(B121,6,1),'Tabel Acuan'!$A$10:$B$17,2,0)</f>
        <v>Human Resources (HR)</v>
      </c>
      <c r="E121" t="str">
        <f>VLOOKUP(MID(B121,8,2),'Tabel Acuan'!$A$1:$B$6,2,0)</f>
        <v>Staff</v>
      </c>
      <c r="F121" s="12">
        <v>43649</v>
      </c>
      <c r="G121" s="8" cm="1">
        <f t="array" ref="G121">INDEX('Tabel Acuan'!$F$4:$F$39,
MATCH(1,('Tabel Acuan'!$D$4:$D$39='Data Gaji Pegawai'!D121)*('Tabel Acuan'!$E$4:$E$39='Data Gaji Pegawai'!E121),0))</f>
        <v>5000000</v>
      </c>
      <c r="H121">
        <f>I121/100000</f>
        <v>23</v>
      </c>
      <c r="I121" s="14">
        <v>2300000</v>
      </c>
      <c r="J121">
        <f ca="1">INT((TODAY()-F121)/30.417)</f>
        <v>84</v>
      </c>
      <c r="K121" s="13">
        <f t="shared" ca="1" si="1"/>
        <v>0</v>
      </c>
      <c r="L121" s="8">
        <f>G121*3.7%</f>
        <v>185000.00000000003</v>
      </c>
      <c r="M121" s="8">
        <f>G121*2%</f>
        <v>100000</v>
      </c>
      <c r="N121" s="8">
        <f>G121*4%</f>
        <v>200000</v>
      </c>
      <c r="O121" s="8">
        <f>G121*1%</f>
        <v>50000</v>
      </c>
      <c r="P121">
        <v>13</v>
      </c>
      <c r="Q121" s="13">
        <f>P121*200000</f>
        <v>2600000</v>
      </c>
      <c r="R121" s="8">
        <v>0</v>
      </c>
      <c r="S121" s="9">
        <f>8%*G121</f>
        <v>400000</v>
      </c>
    </row>
    <row r="122" spans="1:19" x14ac:dyDescent="0.3">
      <c r="A122">
        <v>120</v>
      </c>
      <c r="B122" s="10" t="s">
        <v>284</v>
      </c>
      <c r="C122" s="10" t="s">
        <v>285</v>
      </c>
      <c r="D122" s="11" t="str">
        <f>VLOOKUP(MID(B122,6,1),'Tabel Acuan'!$A$10:$B$17,2,0)</f>
        <v>Information Technology (IT)</v>
      </c>
      <c r="E122" t="str">
        <f>VLOOKUP(MID(B122,8,2),'Tabel Acuan'!$A$1:$B$6,2,0)</f>
        <v>Senior Staff</v>
      </c>
      <c r="F122" s="12">
        <v>45016</v>
      </c>
      <c r="G122" s="8" cm="1">
        <f t="array" ref="G122">INDEX('Tabel Acuan'!$F$4:$F$39,
MATCH(1,('Tabel Acuan'!$D$4:$D$39='Data Gaji Pegawai'!D122)*('Tabel Acuan'!$E$4:$E$39='Data Gaji Pegawai'!E122),0))</f>
        <v>7500000</v>
      </c>
      <c r="H122">
        <f>I122/100000</f>
        <v>5</v>
      </c>
      <c r="I122" s="14">
        <v>500000</v>
      </c>
      <c r="J122">
        <f ca="1">INT((TODAY()-F122)/30.417)</f>
        <v>39</v>
      </c>
      <c r="K122" s="13">
        <f t="shared" ca="1" si="1"/>
        <v>0</v>
      </c>
      <c r="L122" s="8">
        <f>G122*3.7%</f>
        <v>277500.00000000006</v>
      </c>
      <c r="M122" s="8">
        <f>G122*2%</f>
        <v>150000</v>
      </c>
      <c r="N122" s="8">
        <f>G122*4%</f>
        <v>300000</v>
      </c>
      <c r="O122" s="8">
        <f>G122*1%</f>
        <v>75000</v>
      </c>
      <c r="P122">
        <v>12</v>
      </c>
      <c r="Q122" s="13">
        <f>P122*200000</f>
        <v>2400000</v>
      </c>
      <c r="R122" s="8">
        <v>750000</v>
      </c>
      <c r="S122" s="9">
        <f>8%*G122</f>
        <v>600000</v>
      </c>
    </row>
    <row r="123" spans="1:19" x14ac:dyDescent="0.3">
      <c r="A123">
        <v>121</v>
      </c>
      <c r="B123" s="10" t="s">
        <v>286</v>
      </c>
      <c r="C123" s="10" t="s">
        <v>287</v>
      </c>
      <c r="D123" s="11" t="str">
        <f>VLOOKUP(MID(B123,6,1),'Tabel Acuan'!$A$10:$B$17,2,0)</f>
        <v>Marketing</v>
      </c>
      <c r="E123" t="str">
        <f>VLOOKUP(MID(B123,8,2),'Tabel Acuan'!$A$1:$B$6,2,0)</f>
        <v>Staff</v>
      </c>
      <c r="F123" s="12">
        <v>44692</v>
      </c>
      <c r="G123" s="8" cm="1">
        <f t="array" ref="G123">INDEX('Tabel Acuan'!$F$4:$F$39,
MATCH(1,('Tabel Acuan'!$D$4:$D$39='Data Gaji Pegawai'!D123)*('Tabel Acuan'!$E$4:$E$39='Data Gaji Pegawai'!E123),0))</f>
        <v>5300000</v>
      </c>
      <c r="H123">
        <f>I123/100000</f>
        <v>29</v>
      </c>
      <c r="I123" s="14">
        <v>2900000</v>
      </c>
      <c r="J123">
        <f ca="1">INT((TODAY()-F123)/30.417)</f>
        <v>49</v>
      </c>
      <c r="K123" s="13">
        <f t="shared" ca="1" si="1"/>
        <v>0</v>
      </c>
      <c r="L123" s="8">
        <f>G123*3.7%</f>
        <v>196100.00000000003</v>
      </c>
      <c r="M123" s="8">
        <f>G123*2%</f>
        <v>106000</v>
      </c>
      <c r="N123" s="8">
        <f>G123*4%</f>
        <v>212000</v>
      </c>
      <c r="O123" s="8">
        <f>G123*1%</f>
        <v>53000</v>
      </c>
      <c r="P123">
        <v>8</v>
      </c>
      <c r="Q123" s="13">
        <f>P123*200000</f>
        <v>1600000</v>
      </c>
      <c r="R123" s="8">
        <v>5000000</v>
      </c>
      <c r="S123" s="9">
        <f>8%*G123</f>
        <v>424000</v>
      </c>
    </row>
    <row r="124" spans="1:19" x14ac:dyDescent="0.3">
      <c r="A124">
        <v>122</v>
      </c>
      <c r="B124" s="10" t="s">
        <v>288</v>
      </c>
      <c r="C124" s="10" t="s">
        <v>289</v>
      </c>
      <c r="D124" s="11" t="str">
        <f>VLOOKUP(MID(B124,6,1),'Tabel Acuan'!$A$10:$B$17,2,0)</f>
        <v>Logistics</v>
      </c>
      <c r="E124" t="str">
        <f>VLOOKUP(MID(B124,8,2),'Tabel Acuan'!$A$1:$B$6,2,0)</f>
        <v>Senior Staff</v>
      </c>
      <c r="F124" s="12">
        <v>44788</v>
      </c>
      <c r="G124" s="8" cm="1">
        <f t="array" ref="G124">INDEX('Tabel Acuan'!$F$4:$F$39,
MATCH(1,('Tabel Acuan'!$D$4:$D$39='Data Gaji Pegawai'!D124)*('Tabel Acuan'!$E$4:$E$39='Data Gaji Pegawai'!E124),0))</f>
        <v>6250000</v>
      </c>
      <c r="H124">
        <f>I124/100000</f>
        <v>60</v>
      </c>
      <c r="I124" s="14">
        <v>6000000</v>
      </c>
      <c r="J124">
        <f ca="1">INT((TODAY()-F124)/30.417)</f>
        <v>46</v>
      </c>
      <c r="K124" s="13">
        <f t="shared" ca="1" si="1"/>
        <v>0</v>
      </c>
      <c r="L124" s="8">
        <f>G124*3.7%</f>
        <v>231250.00000000003</v>
      </c>
      <c r="M124" s="8">
        <f>G124*2%</f>
        <v>125000</v>
      </c>
      <c r="N124" s="8">
        <f>G124*4%</f>
        <v>250000</v>
      </c>
      <c r="O124" s="8">
        <f>G124*1%</f>
        <v>62500</v>
      </c>
      <c r="P124">
        <v>11</v>
      </c>
      <c r="Q124" s="13">
        <f>P124*200000</f>
        <v>2200000</v>
      </c>
      <c r="R124" s="8">
        <v>1000000</v>
      </c>
      <c r="S124" s="9">
        <f>8%*G124</f>
        <v>500000</v>
      </c>
    </row>
    <row r="125" spans="1:19" x14ac:dyDescent="0.3">
      <c r="A125">
        <v>123</v>
      </c>
      <c r="B125" s="10" t="s">
        <v>290</v>
      </c>
      <c r="C125" s="10" t="s">
        <v>291</v>
      </c>
      <c r="D125" s="11" t="str">
        <f>VLOOKUP(MID(B125,6,1),'Tabel Acuan'!$A$10:$B$17,2,0)</f>
        <v>Information Technology (IT)</v>
      </c>
      <c r="E125" t="str">
        <f>VLOOKUP(MID(B125,8,2),'Tabel Acuan'!$A$1:$B$6,2,0)</f>
        <v>Supervisor</v>
      </c>
      <c r="F125" s="12">
        <v>45759</v>
      </c>
      <c r="G125" s="8" cm="1">
        <f t="array" ref="G125">INDEX('Tabel Acuan'!$F$4:$F$39,
MATCH(1,('Tabel Acuan'!$D$4:$D$39='Data Gaji Pegawai'!D125)*('Tabel Acuan'!$E$4:$E$39='Data Gaji Pegawai'!E125),0))</f>
        <v>9000000</v>
      </c>
      <c r="H125">
        <f>I125/100000</f>
        <v>24</v>
      </c>
      <c r="I125" s="14">
        <v>2400000</v>
      </c>
      <c r="J125">
        <f ca="1">INT((TODAY()-F125)/30.417)</f>
        <v>14</v>
      </c>
      <c r="K125" s="13">
        <f t="shared" ca="1" si="1"/>
        <v>0</v>
      </c>
      <c r="L125" s="8">
        <f>G125*3.7%</f>
        <v>333000.00000000006</v>
      </c>
      <c r="M125" s="8">
        <f>G125*2%</f>
        <v>180000</v>
      </c>
      <c r="N125" s="8">
        <f>G125*4%</f>
        <v>360000</v>
      </c>
      <c r="O125" s="8">
        <f>G125*1%</f>
        <v>90000</v>
      </c>
      <c r="P125">
        <v>15</v>
      </c>
      <c r="Q125" s="13">
        <f>P125*200000</f>
        <v>3000000</v>
      </c>
      <c r="R125" s="8">
        <v>0</v>
      </c>
      <c r="S125" s="9">
        <f>8%*G125</f>
        <v>720000</v>
      </c>
    </row>
    <row r="126" spans="1:19" x14ac:dyDescent="0.3">
      <c r="A126">
        <v>124</v>
      </c>
      <c r="B126" s="10" t="s">
        <v>292</v>
      </c>
      <c r="C126" s="10" t="s">
        <v>293</v>
      </c>
      <c r="D126" s="11" t="str">
        <f>VLOOKUP(MID(B126,6,1),'Tabel Acuan'!$A$10:$B$17,2,0)</f>
        <v>Marketing</v>
      </c>
      <c r="E126" t="str">
        <f>VLOOKUP(MID(B126,8,2),'Tabel Acuan'!$A$1:$B$6,2,0)</f>
        <v>Staff</v>
      </c>
      <c r="F126" s="12">
        <v>44348</v>
      </c>
      <c r="G126" s="8" cm="1">
        <f t="array" ref="G126">INDEX('Tabel Acuan'!$F$4:$F$39,
MATCH(1,('Tabel Acuan'!$D$4:$D$39='Data Gaji Pegawai'!D126)*('Tabel Acuan'!$E$4:$E$39='Data Gaji Pegawai'!E126),0))</f>
        <v>5300000</v>
      </c>
      <c r="H126">
        <f>I126/100000</f>
        <v>1</v>
      </c>
      <c r="I126" s="14">
        <v>100000</v>
      </c>
      <c r="J126">
        <f ca="1">INT((TODAY()-F126)/30.417)</f>
        <v>61</v>
      </c>
      <c r="K126" s="13">
        <f t="shared" ca="1" si="1"/>
        <v>0</v>
      </c>
      <c r="L126" s="8">
        <f>G126*3.7%</f>
        <v>196100.00000000003</v>
      </c>
      <c r="M126" s="8">
        <f>G126*2%</f>
        <v>106000</v>
      </c>
      <c r="N126" s="8">
        <f>G126*4%</f>
        <v>212000</v>
      </c>
      <c r="O126" s="8">
        <f>G126*1%</f>
        <v>53000</v>
      </c>
      <c r="P126">
        <v>12</v>
      </c>
      <c r="Q126" s="13">
        <f>P126*200000</f>
        <v>2400000</v>
      </c>
      <c r="R126" s="8">
        <v>0</v>
      </c>
      <c r="S126" s="9">
        <f>8%*G126</f>
        <v>424000</v>
      </c>
    </row>
    <row r="127" spans="1:19" x14ac:dyDescent="0.3">
      <c r="A127">
        <v>125</v>
      </c>
      <c r="B127" s="10" t="s">
        <v>294</v>
      </c>
      <c r="C127" s="10" t="s">
        <v>295</v>
      </c>
      <c r="D127" s="11" t="str">
        <f>VLOOKUP(MID(B127,6,1),'Tabel Acuan'!$A$10:$B$17,2,0)</f>
        <v>Operations</v>
      </c>
      <c r="E127" t="str">
        <f>VLOOKUP(MID(B127,8,2),'Tabel Acuan'!$A$1:$B$6,2,0)</f>
        <v>Supervisor</v>
      </c>
      <c r="F127" s="12">
        <v>45602</v>
      </c>
      <c r="G127" s="8" cm="1">
        <f t="array" ref="G127">INDEX('Tabel Acuan'!$F$4:$F$39,
MATCH(1,('Tabel Acuan'!$D$4:$D$39='Data Gaji Pegawai'!D127)*('Tabel Acuan'!$E$4:$E$39='Data Gaji Pegawai'!E127),0))</f>
        <v>7700000</v>
      </c>
      <c r="H127">
        <f>I127/100000</f>
        <v>47</v>
      </c>
      <c r="I127" s="14">
        <v>4700000</v>
      </c>
      <c r="J127">
        <f ca="1">INT((TODAY()-F127)/30.417)</f>
        <v>19</v>
      </c>
      <c r="K127" s="13">
        <f t="shared" ca="1" si="1"/>
        <v>0</v>
      </c>
      <c r="L127" s="8">
        <f>G127*3.7%</f>
        <v>284900.00000000006</v>
      </c>
      <c r="M127" s="8">
        <f>G127*2%</f>
        <v>154000</v>
      </c>
      <c r="N127" s="8">
        <f>G127*4%</f>
        <v>308000</v>
      </c>
      <c r="O127" s="8">
        <f>G127*1%</f>
        <v>77000</v>
      </c>
      <c r="P127">
        <v>15</v>
      </c>
      <c r="Q127" s="13">
        <f>P127*200000</f>
        <v>3000000</v>
      </c>
      <c r="R127" s="8">
        <v>1000000</v>
      </c>
      <c r="S127" s="9">
        <f>8%*G127</f>
        <v>616000</v>
      </c>
    </row>
    <row r="128" spans="1:19" x14ac:dyDescent="0.3">
      <c r="A128">
        <v>126</v>
      </c>
      <c r="B128" s="10" t="s">
        <v>296</v>
      </c>
      <c r="C128" s="10" t="s">
        <v>297</v>
      </c>
      <c r="D128" s="11" t="str">
        <f>VLOOKUP(MID(B128,6,1),'Tabel Acuan'!$A$10:$B$17,2,0)</f>
        <v>Marketing</v>
      </c>
      <c r="E128" t="str">
        <f>VLOOKUP(MID(B128,8,2),'Tabel Acuan'!$A$1:$B$6,2,0)</f>
        <v>Supervisor</v>
      </c>
      <c r="F128" s="12">
        <v>43198</v>
      </c>
      <c r="G128" s="8" cm="1">
        <f t="array" ref="G128">INDEX('Tabel Acuan'!$F$4:$F$39,
MATCH(1,('Tabel Acuan'!$D$4:$D$39='Data Gaji Pegawai'!D128)*('Tabel Acuan'!$E$4:$E$39='Data Gaji Pegawai'!E128),0))</f>
        <v>7800000</v>
      </c>
      <c r="H128">
        <f>I128/100000</f>
        <v>39</v>
      </c>
      <c r="I128" s="14">
        <v>3900000</v>
      </c>
      <c r="J128">
        <f ca="1">INT((TODAY()-F128)/30.417)</f>
        <v>98</v>
      </c>
      <c r="K128" s="13">
        <f t="shared" ca="1" si="1"/>
        <v>0</v>
      </c>
      <c r="L128" s="8">
        <f>G128*3.7%</f>
        <v>288600.00000000006</v>
      </c>
      <c r="M128" s="8">
        <f>G128*2%</f>
        <v>156000</v>
      </c>
      <c r="N128" s="8">
        <f>G128*4%</f>
        <v>312000</v>
      </c>
      <c r="O128" s="8">
        <f>G128*1%</f>
        <v>78000</v>
      </c>
      <c r="P128">
        <v>8</v>
      </c>
      <c r="Q128" s="13">
        <f>P128*200000</f>
        <v>1600000</v>
      </c>
      <c r="R128" s="8">
        <v>4000000</v>
      </c>
      <c r="S128" s="9">
        <f>8%*G128</f>
        <v>624000</v>
      </c>
    </row>
    <row r="129" spans="1:19" x14ac:dyDescent="0.3">
      <c r="A129">
        <v>127</v>
      </c>
      <c r="B129" s="10" t="s">
        <v>298</v>
      </c>
      <c r="C129" s="10" t="s">
        <v>299</v>
      </c>
      <c r="D129" s="11" t="str">
        <f>VLOOKUP(MID(B129,6,1),'Tabel Acuan'!$A$10:$B$17,2,0)</f>
        <v>Sales</v>
      </c>
      <c r="E129" t="str">
        <f>VLOOKUP(MID(B129,8,2),'Tabel Acuan'!$A$1:$B$6,2,0)</f>
        <v>Supervisor</v>
      </c>
      <c r="F129" s="12">
        <v>45979</v>
      </c>
      <c r="G129" s="8" cm="1">
        <f t="array" ref="G129">INDEX('Tabel Acuan'!$F$4:$F$39,
MATCH(1,('Tabel Acuan'!$D$4:$D$39='Data Gaji Pegawai'!D129)*('Tabel Acuan'!$E$4:$E$39='Data Gaji Pegawai'!E129),0))</f>
        <v>7500000</v>
      </c>
      <c r="H129">
        <f>I129/100000</f>
        <v>41</v>
      </c>
      <c r="I129" s="14">
        <v>4100000</v>
      </c>
      <c r="J129">
        <f ca="1">INT((TODAY()-F129)/30.417)</f>
        <v>7</v>
      </c>
      <c r="K129" s="13">
        <f t="shared" ca="1" si="1"/>
        <v>0</v>
      </c>
      <c r="L129" s="8">
        <f>G129*3.7%</f>
        <v>277500.00000000006</v>
      </c>
      <c r="M129" s="8">
        <f>G129*2%</f>
        <v>150000</v>
      </c>
      <c r="N129" s="8">
        <f>G129*4%</f>
        <v>300000</v>
      </c>
      <c r="O129" s="8">
        <f>G129*1%</f>
        <v>75000</v>
      </c>
      <c r="P129">
        <v>1</v>
      </c>
      <c r="Q129" s="13">
        <f>P129*200000</f>
        <v>200000</v>
      </c>
      <c r="R129" s="8">
        <v>0</v>
      </c>
      <c r="S129" s="9">
        <f>8%*G129</f>
        <v>600000</v>
      </c>
    </row>
    <row r="130" spans="1:19" x14ac:dyDescent="0.3">
      <c r="A130">
        <v>128</v>
      </c>
      <c r="B130" s="10" t="s">
        <v>300</v>
      </c>
      <c r="C130" s="10" t="s">
        <v>301</v>
      </c>
      <c r="D130" s="11" t="str">
        <f>VLOOKUP(MID(B130,6,1),'Tabel Acuan'!$A$10:$B$17,2,0)</f>
        <v>Human Resources (HR)</v>
      </c>
      <c r="E130" t="str">
        <f>VLOOKUP(MID(B130,8,2),'Tabel Acuan'!$A$1:$B$6,2,0)</f>
        <v>Senior Staff</v>
      </c>
      <c r="F130" s="12">
        <v>44608</v>
      </c>
      <c r="G130" s="8" cm="1">
        <f t="array" ref="G130">INDEX('Tabel Acuan'!$F$4:$F$39,
MATCH(1,('Tabel Acuan'!$D$4:$D$39='Data Gaji Pegawai'!D130)*('Tabel Acuan'!$E$4:$E$39='Data Gaji Pegawai'!E130),0))</f>
        <v>6000000</v>
      </c>
      <c r="H130">
        <f>I130/100000</f>
        <v>58</v>
      </c>
      <c r="I130" s="14">
        <v>5800000</v>
      </c>
      <c r="J130">
        <f ca="1">INT((TODAY()-F130)/30.417)</f>
        <v>52</v>
      </c>
      <c r="K130" s="13">
        <f t="shared" ca="1" si="1"/>
        <v>0</v>
      </c>
      <c r="L130" s="8">
        <f>G130*3.7%</f>
        <v>222000.00000000003</v>
      </c>
      <c r="M130" s="8">
        <f>G130*2%</f>
        <v>120000</v>
      </c>
      <c r="N130" s="8">
        <f>G130*4%</f>
        <v>240000</v>
      </c>
      <c r="O130" s="8">
        <f>G130*1%</f>
        <v>60000</v>
      </c>
      <c r="P130">
        <v>9</v>
      </c>
      <c r="Q130" s="13">
        <f>P130*200000</f>
        <v>1800000</v>
      </c>
      <c r="R130" s="8">
        <v>0</v>
      </c>
      <c r="S130" s="9">
        <f>8%*G130</f>
        <v>480000</v>
      </c>
    </row>
    <row r="131" spans="1:19" x14ac:dyDescent="0.3">
      <c r="A131">
        <v>129</v>
      </c>
      <c r="B131" s="10" t="s">
        <v>302</v>
      </c>
      <c r="C131" s="10" t="s">
        <v>303</v>
      </c>
      <c r="D131" s="11" t="str">
        <f>VLOOKUP(MID(B131,6,1),'Tabel Acuan'!$A$10:$B$17,2,0)</f>
        <v>Finance</v>
      </c>
      <c r="E131" t="str">
        <f>VLOOKUP(MID(B131,8,2),'Tabel Acuan'!$A$1:$B$6,2,0)</f>
        <v>Staff</v>
      </c>
      <c r="F131" s="12">
        <v>44468</v>
      </c>
      <c r="G131" s="8" cm="1">
        <f t="array" ref="G131">INDEX('Tabel Acuan'!$F$4:$F$39,
MATCH(1,('Tabel Acuan'!$D$4:$D$39='Data Gaji Pegawai'!D131)*('Tabel Acuan'!$E$4:$E$39='Data Gaji Pegawai'!E131),0))</f>
        <v>5500000</v>
      </c>
      <c r="H131">
        <f>I131/100000</f>
        <v>32</v>
      </c>
      <c r="I131" s="14">
        <v>3200000</v>
      </c>
      <c r="J131">
        <f ca="1">INT((TODAY()-F131)/30.417)</f>
        <v>57</v>
      </c>
      <c r="K131" s="13">
        <f t="shared" ca="1" si="1"/>
        <v>0</v>
      </c>
      <c r="L131" s="8">
        <f>G131*3.7%</f>
        <v>203500.00000000003</v>
      </c>
      <c r="M131" s="8">
        <f>G131*2%</f>
        <v>110000</v>
      </c>
      <c r="N131" s="8">
        <f>G131*4%</f>
        <v>220000</v>
      </c>
      <c r="O131" s="8">
        <f>G131*1%</f>
        <v>55000</v>
      </c>
      <c r="P131">
        <v>8</v>
      </c>
      <c r="Q131" s="13">
        <f>P131*200000</f>
        <v>1600000</v>
      </c>
      <c r="R131" s="8">
        <v>1000000</v>
      </c>
      <c r="S131" s="9">
        <f>8%*G131</f>
        <v>440000</v>
      </c>
    </row>
    <row r="132" spans="1:19" x14ac:dyDescent="0.3">
      <c r="A132">
        <v>130</v>
      </c>
      <c r="B132" s="10" t="s">
        <v>304</v>
      </c>
      <c r="C132" s="10" t="s">
        <v>305</v>
      </c>
      <c r="D132" s="11" t="str">
        <f>VLOOKUP(MID(B132,6,1),'Tabel Acuan'!$A$10:$B$17,2,0)</f>
        <v>Operations</v>
      </c>
      <c r="E132" t="str">
        <f>VLOOKUP(MID(B132,8,2),'Tabel Acuan'!$A$1:$B$6,2,0)</f>
        <v>Staff</v>
      </c>
      <c r="F132" s="12">
        <v>44801</v>
      </c>
      <c r="G132" s="8" cm="1">
        <f t="array" ref="G132">INDEX('Tabel Acuan'!$F$4:$F$39,
MATCH(1,('Tabel Acuan'!$D$4:$D$39='Data Gaji Pegawai'!D132)*('Tabel Acuan'!$E$4:$E$39='Data Gaji Pegawai'!E132),0))</f>
        <v>5200000</v>
      </c>
      <c r="H132">
        <f>I132/100000</f>
        <v>4</v>
      </c>
      <c r="I132" s="14">
        <v>400000</v>
      </c>
      <c r="J132">
        <f ca="1">INT((TODAY()-F132)/30.417)</f>
        <v>46</v>
      </c>
      <c r="K132" s="13">
        <f t="shared" ref="K132:K195" ca="1" si="2">IF(MONTH(TODAY())=12, IF(J132&gt;=12,G132,G132*(J132/12)), 0)</f>
        <v>0</v>
      </c>
      <c r="L132" s="8">
        <f>G132*3.7%</f>
        <v>192400.00000000003</v>
      </c>
      <c r="M132" s="8">
        <f>G132*2%</f>
        <v>104000</v>
      </c>
      <c r="N132" s="8">
        <f>G132*4%</f>
        <v>208000</v>
      </c>
      <c r="O132" s="8">
        <f>G132*1%</f>
        <v>52000</v>
      </c>
      <c r="P132">
        <v>4</v>
      </c>
      <c r="Q132" s="13">
        <f>P132*200000</f>
        <v>800000</v>
      </c>
      <c r="R132" s="8">
        <v>750000</v>
      </c>
      <c r="S132" s="9">
        <f>8%*G132</f>
        <v>416000</v>
      </c>
    </row>
    <row r="133" spans="1:19" x14ac:dyDescent="0.3">
      <c r="A133">
        <v>131</v>
      </c>
      <c r="B133" s="10" t="s">
        <v>306</v>
      </c>
      <c r="C133" s="10" t="s">
        <v>307</v>
      </c>
      <c r="D133" s="11" t="str">
        <f>VLOOKUP(MID(B133,6,1),'Tabel Acuan'!$A$10:$B$17,2,0)</f>
        <v>Sales</v>
      </c>
      <c r="E133" t="str">
        <f>VLOOKUP(MID(B133,8,2),'Tabel Acuan'!$A$1:$B$6,2,0)</f>
        <v>Senior Staff</v>
      </c>
      <c r="F133" s="12">
        <v>45845</v>
      </c>
      <c r="G133" s="8" cm="1">
        <f t="array" ref="G133">INDEX('Tabel Acuan'!$F$4:$F$39,
MATCH(1,('Tabel Acuan'!$D$4:$D$39='Data Gaji Pegawai'!D133)*('Tabel Acuan'!$E$4:$E$39='Data Gaji Pegawai'!E133),0))</f>
        <v>6000000</v>
      </c>
      <c r="H133">
        <f>I133/100000</f>
        <v>5</v>
      </c>
      <c r="I133" s="14">
        <v>500000</v>
      </c>
      <c r="J133">
        <f ca="1">INT((TODAY()-F133)/30.417)</f>
        <v>11</v>
      </c>
      <c r="K133" s="13">
        <f t="shared" ca="1" si="2"/>
        <v>0</v>
      </c>
      <c r="L133" s="8">
        <f>G133*3.7%</f>
        <v>222000.00000000003</v>
      </c>
      <c r="M133" s="8">
        <f>G133*2%</f>
        <v>120000</v>
      </c>
      <c r="N133" s="8">
        <f>G133*4%</f>
        <v>240000</v>
      </c>
      <c r="O133" s="8">
        <f>G133*1%</f>
        <v>60000</v>
      </c>
      <c r="P133">
        <v>12</v>
      </c>
      <c r="Q133" s="13">
        <f>P133*200000</f>
        <v>2400000</v>
      </c>
      <c r="R133" s="8">
        <v>0</v>
      </c>
      <c r="S133" s="9">
        <f>8%*G133</f>
        <v>480000</v>
      </c>
    </row>
    <row r="134" spans="1:19" x14ac:dyDescent="0.3">
      <c r="A134">
        <v>132</v>
      </c>
      <c r="B134" s="10" t="s">
        <v>308</v>
      </c>
      <c r="C134" s="10" t="s">
        <v>309</v>
      </c>
      <c r="D134" s="11" t="str">
        <f>VLOOKUP(MID(B134,6,1),'Tabel Acuan'!$A$10:$B$17,2,0)</f>
        <v>Human Resources (HR)</v>
      </c>
      <c r="E134" t="str">
        <f>VLOOKUP(MID(B134,8,2),'Tabel Acuan'!$A$1:$B$6,2,0)</f>
        <v>Senior Staff</v>
      </c>
      <c r="F134" s="12">
        <v>45271</v>
      </c>
      <c r="G134" s="8" cm="1">
        <f t="array" ref="G134">INDEX('Tabel Acuan'!$F$4:$F$39,
MATCH(1,('Tabel Acuan'!$D$4:$D$39='Data Gaji Pegawai'!D134)*('Tabel Acuan'!$E$4:$E$39='Data Gaji Pegawai'!E134),0))</f>
        <v>6000000</v>
      </c>
      <c r="H134">
        <f>I134/100000</f>
        <v>16</v>
      </c>
      <c r="I134" s="14">
        <v>1600000</v>
      </c>
      <c r="J134">
        <f ca="1">INT((TODAY()-F134)/30.417)</f>
        <v>30</v>
      </c>
      <c r="K134" s="13">
        <f t="shared" ca="1" si="2"/>
        <v>0</v>
      </c>
      <c r="L134" s="8">
        <f>G134*3.7%</f>
        <v>222000.00000000003</v>
      </c>
      <c r="M134" s="8">
        <f>G134*2%</f>
        <v>120000</v>
      </c>
      <c r="N134" s="8">
        <f>G134*4%</f>
        <v>240000</v>
      </c>
      <c r="O134" s="8">
        <f>G134*1%</f>
        <v>60000</v>
      </c>
      <c r="P134">
        <v>12</v>
      </c>
      <c r="Q134" s="13">
        <f>P134*200000</f>
        <v>2400000</v>
      </c>
      <c r="R134" s="8">
        <v>1250000</v>
      </c>
      <c r="S134" s="9">
        <f>8%*G134</f>
        <v>480000</v>
      </c>
    </row>
    <row r="135" spans="1:19" x14ac:dyDescent="0.3">
      <c r="A135">
        <v>133</v>
      </c>
      <c r="B135" s="10" t="s">
        <v>310</v>
      </c>
      <c r="C135" s="10" t="s">
        <v>311</v>
      </c>
      <c r="D135" s="11" t="str">
        <f>VLOOKUP(MID(B135,6,1),'Tabel Acuan'!$A$10:$B$17,2,0)</f>
        <v>Sales</v>
      </c>
      <c r="E135" t="str">
        <f>VLOOKUP(MID(B135,8,2),'Tabel Acuan'!$A$1:$B$6,2,0)</f>
        <v>Staff</v>
      </c>
      <c r="F135" s="12">
        <v>42657</v>
      </c>
      <c r="G135" s="8" cm="1">
        <f t="array" ref="G135">INDEX('Tabel Acuan'!$F$4:$F$39,
MATCH(1,('Tabel Acuan'!$D$4:$D$39='Data Gaji Pegawai'!D135)*('Tabel Acuan'!$E$4:$E$39='Data Gaji Pegawai'!E135),0))</f>
        <v>5000000</v>
      </c>
      <c r="H135">
        <f>I135/100000</f>
        <v>20</v>
      </c>
      <c r="I135" s="14">
        <v>2000000</v>
      </c>
      <c r="J135">
        <f ca="1">INT((TODAY()-F135)/30.417)</f>
        <v>116</v>
      </c>
      <c r="K135" s="13">
        <f t="shared" ca="1" si="2"/>
        <v>0</v>
      </c>
      <c r="L135" s="8">
        <f>G135*3.7%</f>
        <v>185000.00000000003</v>
      </c>
      <c r="M135" s="8">
        <f>G135*2%</f>
        <v>100000</v>
      </c>
      <c r="N135" s="8">
        <f>G135*4%</f>
        <v>200000</v>
      </c>
      <c r="O135" s="8">
        <f>G135*1%</f>
        <v>50000</v>
      </c>
      <c r="P135">
        <v>7</v>
      </c>
      <c r="Q135" s="13">
        <f>P135*200000</f>
        <v>1400000</v>
      </c>
      <c r="R135" s="8">
        <v>3500000</v>
      </c>
      <c r="S135" s="9">
        <f>8%*G135</f>
        <v>400000</v>
      </c>
    </row>
    <row r="136" spans="1:19" x14ac:dyDescent="0.3">
      <c r="A136">
        <v>134</v>
      </c>
      <c r="B136" s="10" t="s">
        <v>312</v>
      </c>
      <c r="C136" s="10" t="s">
        <v>313</v>
      </c>
      <c r="D136" s="11" t="str">
        <f>VLOOKUP(MID(B136,6,1),'Tabel Acuan'!$A$10:$B$17,2,0)</f>
        <v>Sales</v>
      </c>
      <c r="E136" t="str">
        <f>VLOOKUP(MID(B136,8,2),'Tabel Acuan'!$A$1:$B$6,2,0)</f>
        <v>Staff</v>
      </c>
      <c r="F136" s="12">
        <v>44633</v>
      </c>
      <c r="G136" s="8" cm="1">
        <f t="array" ref="G136">INDEX('Tabel Acuan'!$F$4:$F$39,
MATCH(1,('Tabel Acuan'!$D$4:$D$39='Data Gaji Pegawai'!D136)*('Tabel Acuan'!$E$4:$E$39='Data Gaji Pegawai'!E136),0))</f>
        <v>5000000</v>
      </c>
      <c r="H136">
        <f>I136/100000</f>
        <v>2</v>
      </c>
      <c r="I136" s="14">
        <v>200000</v>
      </c>
      <c r="J136">
        <f ca="1">INT((TODAY()-F136)/30.417)</f>
        <v>51</v>
      </c>
      <c r="K136" s="13">
        <f t="shared" ca="1" si="2"/>
        <v>0</v>
      </c>
      <c r="L136" s="8">
        <f>G136*3.7%</f>
        <v>185000.00000000003</v>
      </c>
      <c r="M136" s="8">
        <f>G136*2%</f>
        <v>100000</v>
      </c>
      <c r="N136" s="8">
        <f>G136*4%</f>
        <v>200000</v>
      </c>
      <c r="O136" s="8">
        <f>G136*1%</f>
        <v>50000</v>
      </c>
      <c r="P136">
        <v>1</v>
      </c>
      <c r="Q136" s="13">
        <f>P136*200000</f>
        <v>200000</v>
      </c>
      <c r="R136" s="8">
        <v>0</v>
      </c>
      <c r="S136" s="9">
        <f>8%*G136</f>
        <v>400000</v>
      </c>
    </row>
    <row r="137" spans="1:19" x14ac:dyDescent="0.3">
      <c r="A137">
        <v>135</v>
      </c>
      <c r="B137" s="10" t="s">
        <v>314</v>
      </c>
      <c r="C137" s="10" t="s">
        <v>315</v>
      </c>
      <c r="D137" s="11" t="str">
        <f>VLOOKUP(MID(B137,6,1),'Tabel Acuan'!$A$10:$B$17,2,0)</f>
        <v>Human Resources (HR)</v>
      </c>
      <c r="E137" t="str">
        <f>VLOOKUP(MID(B137,8,2),'Tabel Acuan'!$A$1:$B$6,2,0)</f>
        <v>Staff</v>
      </c>
      <c r="F137" s="12">
        <v>44760</v>
      </c>
      <c r="G137" s="8" cm="1">
        <f t="array" ref="G137">INDEX('Tabel Acuan'!$F$4:$F$39,
MATCH(1,('Tabel Acuan'!$D$4:$D$39='Data Gaji Pegawai'!D137)*('Tabel Acuan'!$E$4:$E$39='Data Gaji Pegawai'!E137),0))</f>
        <v>5000000</v>
      </c>
      <c r="H137">
        <f>I137/100000</f>
        <v>29</v>
      </c>
      <c r="I137" s="14">
        <v>2900000</v>
      </c>
      <c r="J137">
        <f ca="1">INT((TODAY()-F137)/30.417)</f>
        <v>47</v>
      </c>
      <c r="K137" s="13">
        <f t="shared" ca="1" si="2"/>
        <v>0</v>
      </c>
      <c r="L137" s="8">
        <f>G137*3.7%</f>
        <v>185000.00000000003</v>
      </c>
      <c r="M137" s="8">
        <f>G137*2%</f>
        <v>100000</v>
      </c>
      <c r="N137" s="8">
        <f>G137*4%</f>
        <v>200000</v>
      </c>
      <c r="O137" s="8">
        <f>G137*1%</f>
        <v>50000</v>
      </c>
      <c r="P137">
        <v>11</v>
      </c>
      <c r="Q137" s="13">
        <f>P137*200000</f>
        <v>2200000</v>
      </c>
      <c r="R137" s="8">
        <v>4000000</v>
      </c>
      <c r="S137" s="9">
        <f>8%*G137</f>
        <v>400000</v>
      </c>
    </row>
    <row r="138" spans="1:19" x14ac:dyDescent="0.3">
      <c r="A138">
        <v>136</v>
      </c>
      <c r="B138" s="10" t="s">
        <v>316</v>
      </c>
      <c r="C138" s="10" t="s">
        <v>317</v>
      </c>
      <c r="D138" s="11" t="str">
        <f>VLOOKUP(MID(B138,6,1),'Tabel Acuan'!$A$10:$B$17,2,0)</f>
        <v>Information Technology (IT)</v>
      </c>
      <c r="E138" t="str">
        <f>VLOOKUP(MID(B138,8,2),'Tabel Acuan'!$A$1:$B$6,2,0)</f>
        <v>Senior Staff</v>
      </c>
      <c r="F138" s="12">
        <v>45139</v>
      </c>
      <c r="G138" s="8" cm="1">
        <f t="array" ref="G138">INDEX('Tabel Acuan'!$F$4:$F$39,
MATCH(1,('Tabel Acuan'!$D$4:$D$39='Data Gaji Pegawai'!D138)*('Tabel Acuan'!$E$4:$E$39='Data Gaji Pegawai'!E138),0))</f>
        <v>7500000</v>
      </c>
      <c r="H138">
        <f>I138/100000</f>
        <v>41</v>
      </c>
      <c r="I138" s="14">
        <v>4100000</v>
      </c>
      <c r="J138">
        <f ca="1">INT((TODAY()-F138)/30.417)</f>
        <v>35</v>
      </c>
      <c r="K138" s="13">
        <f t="shared" ca="1" si="2"/>
        <v>0</v>
      </c>
      <c r="L138" s="8">
        <f>G138*3.7%</f>
        <v>277500.00000000006</v>
      </c>
      <c r="M138" s="8">
        <f>G138*2%</f>
        <v>150000</v>
      </c>
      <c r="N138" s="8">
        <f>G138*4%</f>
        <v>300000</v>
      </c>
      <c r="O138" s="8">
        <f>G138*1%</f>
        <v>75000</v>
      </c>
      <c r="P138">
        <v>3</v>
      </c>
      <c r="Q138" s="13">
        <f>P138*200000</f>
        <v>600000</v>
      </c>
      <c r="R138" s="8">
        <v>3000000</v>
      </c>
      <c r="S138" s="9">
        <f>8%*G138</f>
        <v>600000</v>
      </c>
    </row>
    <row r="139" spans="1:19" x14ac:dyDescent="0.3">
      <c r="A139">
        <v>137</v>
      </c>
      <c r="B139" s="10" t="s">
        <v>318</v>
      </c>
      <c r="C139" s="10" t="s">
        <v>319</v>
      </c>
      <c r="D139" s="11" t="str">
        <f>VLOOKUP(MID(B139,6,1),'Tabel Acuan'!$A$10:$B$17,2,0)</f>
        <v>Logistics</v>
      </c>
      <c r="E139" t="str">
        <f>VLOOKUP(MID(B139,8,2),'Tabel Acuan'!$A$1:$B$6,2,0)</f>
        <v>Staff</v>
      </c>
      <c r="F139" s="12">
        <v>44424</v>
      </c>
      <c r="G139" s="8" cm="1">
        <f t="array" ref="G139">INDEX('Tabel Acuan'!$F$4:$F$39,
MATCH(1,('Tabel Acuan'!$D$4:$D$39='Data Gaji Pegawai'!D139)*('Tabel Acuan'!$E$4:$E$39='Data Gaji Pegawai'!E139),0))</f>
        <v>5200000</v>
      </c>
      <c r="H139">
        <f>I139/100000</f>
        <v>28</v>
      </c>
      <c r="I139" s="14">
        <v>2800000</v>
      </c>
      <c r="J139">
        <f ca="1">INT((TODAY()-F139)/30.417)</f>
        <v>58</v>
      </c>
      <c r="K139" s="13">
        <f t="shared" ca="1" si="2"/>
        <v>0</v>
      </c>
      <c r="L139" s="8">
        <f>G139*3.7%</f>
        <v>192400.00000000003</v>
      </c>
      <c r="M139" s="8">
        <f>G139*2%</f>
        <v>104000</v>
      </c>
      <c r="N139" s="8">
        <f>G139*4%</f>
        <v>208000</v>
      </c>
      <c r="O139" s="8">
        <f>G139*1%</f>
        <v>52000</v>
      </c>
      <c r="P139">
        <v>7</v>
      </c>
      <c r="Q139" s="13">
        <f>P139*200000</f>
        <v>1400000</v>
      </c>
      <c r="R139" s="8">
        <v>300000</v>
      </c>
      <c r="S139" s="9">
        <f>8%*G139</f>
        <v>416000</v>
      </c>
    </row>
    <row r="140" spans="1:19" x14ac:dyDescent="0.3">
      <c r="A140">
        <v>138</v>
      </c>
      <c r="B140" s="10" t="s">
        <v>320</v>
      </c>
      <c r="C140" s="10" t="s">
        <v>321</v>
      </c>
      <c r="D140" s="11" t="str">
        <f>VLOOKUP(MID(B140,6,1),'Tabel Acuan'!$A$10:$B$17,2,0)</f>
        <v>Logistics</v>
      </c>
      <c r="E140" t="str">
        <f>VLOOKUP(MID(B140,8,2),'Tabel Acuan'!$A$1:$B$6,2,0)</f>
        <v>Senior Staff</v>
      </c>
      <c r="F140" s="12">
        <v>45689</v>
      </c>
      <c r="G140" s="8" cm="1">
        <f t="array" ref="G140">INDEX('Tabel Acuan'!$F$4:$F$39,
MATCH(1,('Tabel Acuan'!$D$4:$D$39='Data Gaji Pegawai'!D140)*('Tabel Acuan'!$E$4:$E$39='Data Gaji Pegawai'!E140),0))</f>
        <v>6250000</v>
      </c>
      <c r="H140">
        <f>I140/100000</f>
        <v>25</v>
      </c>
      <c r="I140" s="14">
        <v>2500000</v>
      </c>
      <c r="J140">
        <f ca="1">INT((TODAY()-F140)/30.417)</f>
        <v>16</v>
      </c>
      <c r="K140" s="13">
        <f t="shared" ca="1" si="2"/>
        <v>0</v>
      </c>
      <c r="L140" s="8">
        <f>G140*3.7%</f>
        <v>231250.00000000003</v>
      </c>
      <c r="M140" s="8">
        <f>G140*2%</f>
        <v>125000</v>
      </c>
      <c r="N140" s="8">
        <f>G140*4%</f>
        <v>250000</v>
      </c>
      <c r="O140" s="8">
        <f>G140*1%</f>
        <v>62500</v>
      </c>
      <c r="P140">
        <v>8</v>
      </c>
      <c r="Q140" s="13">
        <f>P140*200000</f>
        <v>1600000</v>
      </c>
      <c r="R140" s="8">
        <v>0</v>
      </c>
      <c r="S140" s="9">
        <f>8%*G140</f>
        <v>500000</v>
      </c>
    </row>
    <row r="141" spans="1:19" x14ac:dyDescent="0.3">
      <c r="A141">
        <v>139</v>
      </c>
      <c r="B141" s="10" t="s">
        <v>322</v>
      </c>
      <c r="C141" s="10" t="s">
        <v>323</v>
      </c>
      <c r="D141" s="11" t="str">
        <f>VLOOKUP(MID(B141,6,1),'Tabel Acuan'!$A$10:$B$17,2,0)</f>
        <v>Operations</v>
      </c>
      <c r="E141" t="str">
        <f>VLOOKUP(MID(B141,8,2),'Tabel Acuan'!$A$1:$B$6,2,0)</f>
        <v>Supervisor</v>
      </c>
      <c r="F141" s="12">
        <v>42478</v>
      </c>
      <c r="G141" s="8" cm="1">
        <f t="array" ref="G141">INDEX('Tabel Acuan'!$F$4:$F$39,
MATCH(1,('Tabel Acuan'!$D$4:$D$39='Data Gaji Pegawai'!D141)*('Tabel Acuan'!$E$4:$E$39='Data Gaji Pegawai'!E141),0))</f>
        <v>7700000</v>
      </c>
      <c r="H141">
        <f>I141/100000</f>
        <v>41</v>
      </c>
      <c r="I141" s="14">
        <v>4100000</v>
      </c>
      <c r="J141">
        <f ca="1">INT((TODAY()-F141)/30.417)</f>
        <v>122</v>
      </c>
      <c r="K141" s="13">
        <f t="shared" ca="1" si="2"/>
        <v>0</v>
      </c>
      <c r="L141" s="8">
        <f>G141*3.7%</f>
        <v>284900.00000000006</v>
      </c>
      <c r="M141" s="8">
        <f>G141*2%</f>
        <v>154000</v>
      </c>
      <c r="N141" s="8">
        <f>G141*4%</f>
        <v>308000</v>
      </c>
      <c r="O141" s="8">
        <f>G141*1%</f>
        <v>77000</v>
      </c>
      <c r="P141">
        <v>0</v>
      </c>
      <c r="Q141" s="13">
        <f>P141*200000</f>
        <v>0</v>
      </c>
      <c r="R141" s="8">
        <v>0</v>
      </c>
      <c r="S141" s="9">
        <f>8%*G141</f>
        <v>616000</v>
      </c>
    </row>
    <row r="142" spans="1:19" x14ac:dyDescent="0.3">
      <c r="A142">
        <v>140</v>
      </c>
      <c r="B142" s="10" t="s">
        <v>324</v>
      </c>
      <c r="C142" s="10" t="s">
        <v>325</v>
      </c>
      <c r="D142" s="11" t="str">
        <f>VLOOKUP(MID(B142,6,1),'Tabel Acuan'!$A$10:$B$17,2,0)</f>
        <v>Finance</v>
      </c>
      <c r="E142" t="str">
        <f>VLOOKUP(MID(B142,8,2),'Tabel Acuan'!$A$1:$B$6,2,0)</f>
        <v>Manager</v>
      </c>
      <c r="F142" s="12">
        <v>43866</v>
      </c>
      <c r="G142" s="8" cm="1">
        <f t="array" ref="G142">INDEX('Tabel Acuan'!$F$4:$F$39,
MATCH(1,('Tabel Acuan'!$D$4:$D$39='Data Gaji Pegawai'!D142)*('Tabel Acuan'!$E$4:$E$39='Data Gaji Pegawai'!E142),0))</f>
        <v>13500000</v>
      </c>
      <c r="H142">
        <f>I142/100000</f>
        <v>53</v>
      </c>
      <c r="I142" s="14">
        <v>5300000</v>
      </c>
      <c r="J142">
        <f ca="1">INT((TODAY()-F142)/30.417)</f>
        <v>76</v>
      </c>
      <c r="K142" s="13">
        <f t="shared" ca="1" si="2"/>
        <v>0</v>
      </c>
      <c r="L142" s="8">
        <f>G142*3.7%</f>
        <v>499500.00000000006</v>
      </c>
      <c r="M142" s="8">
        <f>G142*2%</f>
        <v>270000</v>
      </c>
      <c r="N142" s="8">
        <f>G142*4%</f>
        <v>540000</v>
      </c>
      <c r="O142" s="8">
        <f>G142*1%</f>
        <v>135000</v>
      </c>
      <c r="P142">
        <v>6</v>
      </c>
      <c r="Q142" s="13">
        <f>P142*200000</f>
        <v>1200000</v>
      </c>
      <c r="R142" s="8">
        <v>750000</v>
      </c>
      <c r="S142" s="9">
        <f>8%*G142</f>
        <v>1080000</v>
      </c>
    </row>
    <row r="143" spans="1:19" x14ac:dyDescent="0.3">
      <c r="A143">
        <v>141</v>
      </c>
      <c r="B143" s="10" t="s">
        <v>326</v>
      </c>
      <c r="C143" s="10" t="s">
        <v>327</v>
      </c>
      <c r="D143" s="11" t="str">
        <f>VLOOKUP(MID(B143,6,1),'Tabel Acuan'!$A$10:$B$17,2,0)</f>
        <v>Operations</v>
      </c>
      <c r="E143" t="str">
        <f>VLOOKUP(MID(B143,8,2),'Tabel Acuan'!$A$1:$B$6,2,0)</f>
        <v>Staff</v>
      </c>
      <c r="F143" s="12">
        <v>43972</v>
      </c>
      <c r="G143" s="8" cm="1">
        <f t="array" ref="G143">INDEX('Tabel Acuan'!$F$4:$F$39,
MATCH(1,('Tabel Acuan'!$D$4:$D$39='Data Gaji Pegawai'!D143)*('Tabel Acuan'!$E$4:$E$39='Data Gaji Pegawai'!E143),0))</f>
        <v>5200000</v>
      </c>
      <c r="H143">
        <f>I143/100000</f>
        <v>54</v>
      </c>
      <c r="I143" s="14">
        <v>5400000</v>
      </c>
      <c r="J143">
        <f ca="1">INT((TODAY()-F143)/30.417)</f>
        <v>73</v>
      </c>
      <c r="K143" s="13">
        <f t="shared" ca="1" si="2"/>
        <v>0</v>
      </c>
      <c r="L143" s="8">
        <f>G143*3.7%</f>
        <v>192400.00000000003</v>
      </c>
      <c r="M143" s="8">
        <f>G143*2%</f>
        <v>104000</v>
      </c>
      <c r="N143" s="8">
        <f>G143*4%</f>
        <v>208000</v>
      </c>
      <c r="O143" s="8">
        <f>G143*1%</f>
        <v>52000</v>
      </c>
      <c r="P143">
        <v>4</v>
      </c>
      <c r="Q143" s="13">
        <f>P143*200000</f>
        <v>800000</v>
      </c>
      <c r="R143" s="8">
        <v>2500000</v>
      </c>
      <c r="S143" s="9">
        <f>8%*G143</f>
        <v>416000</v>
      </c>
    </row>
    <row r="144" spans="1:19" x14ac:dyDescent="0.3">
      <c r="A144">
        <v>142</v>
      </c>
      <c r="B144" s="10" t="s">
        <v>328</v>
      </c>
      <c r="C144" s="10" t="s">
        <v>329</v>
      </c>
      <c r="D144" s="11" t="str">
        <f>VLOOKUP(MID(B144,6,1),'Tabel Acuan'!$A$10:$B$17,2,0)</f>
        <v>Operations</v>
      </c>
      <c r="E144" t="str">
        <f>VLOOKUP(MID(B144,8,2),'Tabel Acuan'!$A$1:$B$6,2,0)</f>
        <v>Staff</v>
      </c>
      <c r="F144" s="12">
        <v>43533</v>
      </c>
      <c r="G144" s="8" cm="1">
        <f t="array" ref="G144">INDEX('Tabel Acuan'!$F$4:$F$39,
MATCH(1,('Tabel Acuan'!$D$4:$D$39='Data Gaji Pegawai'!D144)*('Tabel Acuan'!$E$4:$E$39='Data Gaji Pegawai'!E144),0))</f>
        <v>5200000</v>
      </c>
      <c r="H144">
        <f>I144/100000</f>
        <v>0</v>
      </c>
      <c r="I144" s="14">
        <v>0</v>
      </c>
      <c r="J144">
        <f ca="1">INT((TODAY()-F144)/30.417)</f>
        <v>87</v>
      </c>
      <c r="K144" s="13">
        <f t="shared" ca="1" si="2"/>
        <v>0</v>
      </c>
      <c r="L144" s="8">
        <f>G144*3.7%</f>
        <v>192400.00000000003</v>
      </c>
      <c r="M144" s="8">
        <f>G144*2%</f>
        <v>104000</v>
      </c>
      <c r="N144" s="8">
        <f>G144*4%</f>
        <v>208000</v>
      </c>
      <c r="O144" s="8">
        <f>G144*1%</f>
        <v>52000</v>
      </c>
      <c r="P144">
        <v>11</v>
      </c>
      <c r="Q144" s="13">
        <f>P144*200000</f>
        <v>2200000</v>
      </c>
      <c r="R144" s="8">
        <v>750000</v>
      </c>
      <c r="S144" s="9">
        <f>8%*G144</f>
        <v>416000</v>
      </c>
    </row>
    <row r="145" spans="1:19" x14ac:dyDescent="0.3">
      <c r="A145">
        <v>143</v>
      </c>
      <c r="B145" s="10" t="s">
        <v>330</v>
      </c>
      <c r="C145" s="10" t="s">
        <v>331</v>
      </c>
      <c r="D145" s="11" t="str">
        <f>VLOOKUP(MID(B145,6,1),'Tabel Acuan'!$A$10:$B$17,2,0)</f>
        <v>Logistics</v>
      </c>
      <c r="E145" t="str">
        <f>VLOOKUP(MID(B145,8,2),'Tabel Acuan'!$A$1:$B$6,2,0)</f>
        <v>Staff</v>
      </c>
      <c r="F145" s="12">
        <v>45356</v>
      </c>
      <c r="G145" s="8" cm="1">
        <f t="array" ref="G145">INDEX('Tabel Acuan'!$F$4:$F$39,
MATCH(1,('Tabel Acuan'!$D$4:$D$39='Data Gaji Pegawai'!D145)*('Tabel Acuan'!$E$4:$E$39='Data Gaji Pegawai'!E145),0))</f>
        <v>5200000</v>
      </c>
      <c r="H145">
        <f>I145/100000</f>
        <v>47</v>
      </c>
      <c r="I145" s="14">
        <v>4700000</v>
      </c>
      <c r="J145">
        <f ca="1">INT((TODAY()-F145)/30.417)</f>
        <v>27</v>
      </c>
      <c r="K145" s="13">
        <f t="shared" ca="1" si="2"/>
        <v>0</v>
      </c>
      <c r="L145" s="8">
        <f>G145*3.7%</f>
        <v>192400.00000000003</v>
      </c>
      <c r="M145" s="8">
        <f>G145*2%</f>
        <v>104000</v>
      </c>
      <c r="N145" s="8">
        <f>G145*4%</f>
        <v>208000</v>
      </c>
      <c r="O145" s="8">
        <f>G145*1%</f>
        <v>52000</v>
      </c>
      <c r="P145">
        <v>13</v>
      </c>
      <c r="Q145" s="13">
        <f>P145*200000</f>
        <v>2600000</v>
      </c>
      <c r="R145" s="8">
        <v>4000000</v>
      </c>
      <c r="S145" s="9">
        <f>8%*G145</f>
        <v>416000</v>
      </c>
    </row>
    <row r="146" spans="1:19" x14ac:dyDescent="0.3">
      <c r="A146">
        <v>144</v>
      </c>
      <c r="B146" s="10" t="s">
        <v>332</v>
      </c>
      <c r="C146" s="10" t="s">
        <v>333</v>
      </c>
      <c r="D146" s="11" t="str">
        <f>VLOOKUP(MID(B146,6,1),'Tabel Acuan'!$A$10:$B$17,2,0)</f>
        <v>Information Technology (IT)</v>
      </c>
      <c r="E146" t="str">
        <f>VLOOKUP(MID(B146,8,2),'Tabel Acuan'!$A$1:$B$6,2,0)</f>
        <v>Senior Staff</v>
      </c>
      <c r="F146" s="12">
        <v>42673</v>
      </c>
      <c r="G146" s="8" cm="1">
        <f t="array" ref="G146">INDEX('Tabel Acuan'!$F$4:$F$39,
MATCH(1,('Tabel Acuan'!$D$4:$D$39='Data Gaji Pegawai'!D146)*('Tabel Acuan'!$E$4:$E$39='Data Gaji Pegawai'!E146),0))</f>
        <v>7500000</v>
      </c>
      <c r="H146">
        <f>I146/100000</f>
        <v>6</v>
      </c>
      <c r="I146" s="14">
        <v>600000</v>
      </c>
      <c r="J146">
        <f ca="1">INT((TODAY()-F146)/30.417)</f>
        <v>116</v>
      </c>
      <c r="K146" s="13">
        <f t="shared" ca="1" si="2"/>
        <v>0</v>
      </c>
      <c r="L146" s="8">
        <f>G146*3.7%</f>
        <v>277500.00000000006</v>
      </c>
      <c r="M146" s="8">
        <f>G146*2%</f>
        <v>150000</v>
      </c>
      <c r="N146" s="8">
        <f>G146*4%</f>
        <v>300000</v>
      </c>
      <c r="O146" s="8">
        <f>G146*1%</f>
        <v>75000</v>
      </c>
      <c r="P146">
        <v>14</v>
      </c>
      <c r="Q146" s="13">
        <f>P146*200000</f>
        <v>2800000</v>
      </c>
      <c r="R146" s="8">
        <v>3000000</v>
      </c>
      <c r="S146" s="9">
        <f>8%*G146</f>
        <v>600000</v>
      </c>
    </row>
    <row r="147" spans="1:19" x14ac:dyDescent="0.3">
      <c r="A147">
        <v>145</v>
      </c>
      <c r="B147" s="10" t="s">
        <v>334</v>
      </c>
      <c r="C147" s="10" t="s">
        <v>335</v>
      </c>
      <c r="D147" s="11" t="str">
        <f>VLOOKUP(MID(B147,6,1),'Tabel Acuan'!$A$10:$B$17,2,0)</f>
        <v>Sales</v>
      </c>
      <c r="E147" t="str">
        <f>VLOOKUP(MID(B147,8,2),'Tabel Acuan'!$A$1:$B$6,2,0)</f>
        <v>Supervisor</v>
      </c>
      <c r="F147" s="12">
        <v>42159</v>
      </c>
      <c r="G147" s="8" cm="1">
        <f t="array" ref="G147">INDEX('Tabel Acuan'!$F$4:$F$39,
MATCH(1,('Tabel Acuan'!$D$4:$D$39='Data Gaji Pegawai'!D147)*('Tabel Acuan'!$E$4:$E$39='Data Gaji Pegawai'!E147),0))</f>
        <v>7500000</v>
      </c>
      <c r="H147">
        <f>I147/100000</f>
        <v>29</v>
      </c>
      <c r="I147" s="14">
        <v>2900000</v>
      </c>
      <c r="J147">
        <f ca="1">INT((TODAY()-F147)/30.417)</f>
        <v>133</v>
      </c>
      <c r="K147" s="13">
        <f t="shared" ca="1" si="2"/>
        <v>0</v>
      </c>
      <c r="L147" s="8">
        <f>G147*3.7%</f>
        <v>277500.00000000006</v>
      </c>
      <c r="M147" s="8">
        <f>G147*2%</f>
        <v>150000</v>
      </c>
      <c r="N147" s="8">
        <f>G147*4%</f>
        <v>300000</v>
      </c>
      <c r="O147" s="8">
        <f>G147*1%</f>
        <v>75000</v>
      </c>
      <c r="P147">
        <v>0</v>
      </c>
      <c r="Q147" s="13">
        <f>P147*200000</f>
        <v>0</v>
      </c>
      <c r="R147" s="8">
        <v>0</v>
      </c>
      <c r="S147" s="9">
        <f>8%*G147</f>
        <v>600000</v>
      </c>
    </row>
    <row r="148" spans="1:19" x14ac:dyDescent="0.3">
      <c r="A148">
        <v>146</v>
      </c>
      <c r="B148" s="10" t="s">
        <v>336</v>
      </c>
      <c r="C148" s="10" t="s">
        <v>337</v>
      </c>
      <c r="D148" s="11" t="str">
        <f>VLOOKUP(MID(B148,6,1),'Tabel Acuan'!$A$10:$B$17,2,0)</f>
        <v>Operations</v>
      </c>
      <c r="E148" t="str">
        <f>VLOOKUP(MID(B148,8,2),'Tabel Acuan'!$A$1:$B$6,2,0)</f>
        <v>Senior Staff</v>
      </c>
      <c r="F148" s="12">
        <v>44813</v>
      </c>
      <c r="G148" s="8" cm="1">
        <f t="array" ref="G148">INDEX('Tabel Acuan'!$F$4:$F$39,
MATCH(1,('Tabel Acuan'!$D$4:$D$39='Data Gaji Pegawai'!D148)*('Tabel Acuan'!$E$4:$E$39='Data Gaji Pegawai'!E148),0))</f>
        <v>6300000</v>
      </c>
      <c r="H148">
        <f>I148/100000</f>
        <v>45</v>
      </c>
      <c r="I148" s="14">
        <v>4500000</v>
      </c>
      <c r="J148">
        <f ca="1">INT((TODAY()-F148)/30.417)</f>
        <v>45</v>
      </c>
      <c r="K148" s="13">
        <f t="shared" ca="1" si="2"/>
        <v>0</v>
      </c>
      <c r="L148" s="8">
        <f>G148*3.7%</f>
        <v>233100.00000000003</v>
      </c>
      <c r="M148" s="8">
        <f>G148*2%</f>
        <v>126000</v>
      </c>
      <c r="N148" s="8">
        <f>G148*4%</f>
        <v>252000</v>
      </c>
      <c r="O148" s="8">
        <f>G148*1%</f>
        <v>63000</v>
      </c>
      <c r="P148">
        <v>14</v>
      </c>
      <c r="Q148" s="13">
        <f>P148*200000</f>
        <v>2800000</v>
      </c>
      <c r="R148" s="8">
        <v>0</v>
      </c>
      <c r="S148" s="9">
        <f>8%*G148</f>
        <v>504000</v>
      </c>
    </row>
    <row r="149" spans="1:19" x14ac:dyDescent="0.3">
      <c r="A149">
        <v>147</v>
      </c>
      <c r="B149" s="10" t="s">
        <v>338</v>
      </c>
      <c r="C149" s="10" t="s">
        <v>339</v>
      </c>
      <c r="D149" s="11" t="str">
        <f>VLOOKUP(MID(B149,6,1),'Tabel Acuan'!$A$10:$B$17,2,0)</f>
        <v>Logistics</v>
      </c>
      <c r="E149" t="str">
        <f>VLOOKUP(MID(B149,8,2),'Tabel Acuan'!$A$1:$B$6,2,0)</f>
        <v>Senior Staff</v>
      </c>
      <c r="F149" s="12">
        <v>42510</v>
      </c>
      <c r="G149" s="8" cm="1">
        <f t="array" ref="G149">INDEX('Tabel Acuan'!$F$4:$F$39,
MATCH(1,('Tabel Acuan'!$D$4:$D$39='Data Gaji Pegawai'!D149)*('Tabel Acuan'!$E$4:$E$39='Data Gaji Pegawai'!E149),0))</f>
        <v>6250000</v>
      </c>
      <c r="H149">
        <f>I149/100000</f>
        <v>39</v>
      </c>
      <c r="I149" s="14">
        <v>3900000</v>
      </c>
      <c r="J149">
        <f ca="1">INT((TODAY()-F149)/30.417)</f>
        <v>121</v>
      </c>
      <c r="K149" s="13">
        <f t="shared" ca="1" si="2"/>
        <v>0</v>
      </c>
      <c r="L149" s="8">
        <f>G149*3.7%</f>
        <v>231250.00000000003</v>
      </c>
      <c r="M149" s="8">
        <f>G149*2%</f>
        <v>125000</v>
      </c>
      <c r="N149" s="8">
        <f>G149*4%</f>
        <v>250000</v>
      </c>
      <c r="O149" s="8">
        <f>G149*1%</f>
        <v>62500</v>
      </c>
      <c r="P149">
        <v>10</v>
      </c>
      <c r="Q149" s="13">
        <f>P149*200000</f>
        <v>2000000</v>
      </c>
      <c r="R149" s="8">
        <v>3000000</v>
      </c>
      <c r="S149" s="9">
        <f>8%*G149</f>
        <v>500000</v>
      </c>
    </row>
    <row r="150" spans="1:19" x14ac:dyDescent="0.3">
      <c r="A150">
        <v>148</v>
      </c>
      <c r="B150" s="10" t="s">
        <v>340</v>
      </c>
      <c r="C150" s="10" t="s">
        <v>341</v>
      </c>
      <c r="D150" s="11" t="str">
        <f>VLOOKUP(MID(B150,6,1),'Tabel Acuan'!$A$10:$B$17,2,0)</f>
        <v>Logistics</v>
      </c>
      <c r="E150" t="str">
        <f>VLOOKUP(MID(B150,8,2),'Tabel Acuan'!$A$1:$B$6,2,0)</f>
        <v>Senior Staff</v>
      </c>
      <c r="F150" s="12">
        <v>44977</v>
      </c>
      <c r="G150" s="8" cm="1">
        <f t="array" ref="G150">INDEX('Tabel Acuan'!$F$4:$F$39,
MATCH(1,('Tabel Acuan'!$D$4:$D$39='Data Gaji Pegawai'!D150)*('Tabel Acuan'!$E$4:$E$39='Data Gaji Pegawai'!E150),0))</f>
        <v>6250000</v>
      </c>
      <c r="H150">
        <f>I150/100000</f>
        <v>50</v>
      </c>
      <c r="I150" s="14">
        <v>5000000</v>
      </c>
      <c r="J150">
        <f ca="1">INT((TODAY()-F150)/30.417)</f>
        <v>40</v>
      </c>
      <c r="K150" s="13">
        <f t="shared" ca="1" si="2"/>
        <v>0</v>
      </c>
      <c r="L150" s="8">
        <f>G150*3.7%</f>
        <v>231250.00000000003</v>
      </c>
      <c r="M150" s="8">
        <f>G150*2%</f>
        <v>125000</v>
      </c>
      <c r="N150" s="8">
        <f>G150*4%</f>
        <v>250000</v>
      </c>
      <c r="O150" s="8">
        <f>G150*1%</f>
        <v>62500</v>
      </c>
      <c r="P150">
        <v>3</v>
      </c>
      <c r="Q150" s="13">
        <f>P150*200000</f>
        <v>600000</v>
      </c>
      <c r="R150" s="8">
        <v>3500000</v>
      </c>
      <c r="S150" s="9">
        <f>8%*G150</f>
        <v>500000</v>
      </c>
    </row>
    <row r="151" spans="1:19" x14ac:dyDescent="0.3">
      <c r="A151">
        <v>149</v>
      </c>
      <c r="B151" s="10" t="s">
        <v>342</v>
      </c>
      <c r="C151" s="10" t="s">
        <v>343</v>
      </c>
      <c r="D151" s="11" t="str">
        <f>VLOOKUP(MID(B151,6,1),'Tabel Acuan'!$A$10:$B$17,2,0)</f>
        <v>Sales</v>
      </c>
      <c r="E151" t="str">
        <f>VLOOKUP(MID(B151,8,2),'Tabel Acuan'!$A$1:$B$6,2,0)</f>
        <v>Assistant Manager</v>
      </c>
      <c r="F151" s="12">
        <v>45043</v>
      </c>
      <c r="G151" s="8" cm="1">
        <f t="array" ref="G151">INDEX('Tabel Acuan'!$F$4:$F$39,
MATCH(1,('Tabel Acuan'!$D$4:$D$39='Data Gaji Pegawai'!D151)*('Tabel Acuan'!$E$4:$E$39='Data Gaji Pegawai'!E151),0))</f>
        <v>9500000</v>
      </c>
      <c r="H151">
        <f>I151/100000</f>
        <v>26</v>
      </c>
      <c r="I151" s="14">
        <v>2600000</v>
      </c>
      <c r="J151">
        <f ca="1">INT((TODAY()-F151)/30.417)</f>
        <v>38</v>
      </c>
      <c r="K151" s="13">
        <f t="shared" ca="1" si="2"/>
        <v>0</v>
      </c>
      <c r="L151" s="8">
        <f>G151*3.7%</f>
        <v>351500.00000000006</v>
      </c>
      <c r="M151" s="8">
        <f>G151*2%</f>
        <v>190000</v>
      </c>
      <c r="N151" s="8">
        <f>G151*4%</f>
        <v>380000</v>
      </c>
      <c r="O151" s="8">
        <f>G151*1%</f>
        <v>95000</v>
      </c>
      <c r="P151">
        <v>10</v>
      </c>
      <c r="Q151" s="13">
        <f>P151*200000</f>
        <v>2000000</v>
      </c>
      <c r="R151" s="8">
        <v>1500000</v>
      </c>
      <c r="S151" s="9">
        <f>8%*G151</f>
        <v>760000</v>
      </c>
    </row>
    <row r="152" spans="1:19" x14ac:dyDescent="0.3">
      <c r="A152">
        <v>150</v>
      </c>
      <c r="B152" s="10" t="s">
        <v>344</v>
      </c>
      <c r="C152" s="10" t="s">
        <v>345</v>
      </c>
      <c r="D152" s="11" t="str">
        <f>VLOOKUP(MID(B152,6,1),'Tabel Acuan'!$A$10:$B$17,2,0)</f>
        <v>Sales</v>
      </c>
      <c r="E152" t="str">
        <f>VLOOKUP(MID(B152,8,2),'Tabel Acuan'!$A$1:$B$6,2,0)</f>
        <v>Staff</v>
      </c>
      <c r="F152" s="12">
        <v>44537</v>
      </c>
      <c r="G152" s="8" cm="1">
        <f t="array" ref="G152">INDEX('Tabel Acuan'!$F$4:$F$39,
MATCH(1,('Tabel Acuan'!$D$4:$D$39='Data Gaji Pegawai'!D152)*('Tabel Acuan'!$E$4:$E$39='Data Gaji Pegawai'!E152),0))</f>
        <v>5000000</v>
      </c>
      <c r="H152">
        <f>I152/100000</f>
        <v>16</v>
      </c>
      <c r="I152" s="14">
        <v>1600000</v>
      </c>
      <c r="J152">
        <f ca="1">INT((TODAY()-F152)/30.417)</f>
        <v>54</v>
      </c>
      <c r="K152" s="13">
        <f t="shared" ca="1" si="2"/>
        <v>0</v>
      </c>
      <c r="L152" s="8">
        <f>G152*3.7%</f>
        <v>185000.00000000003</v>
      </c>
      <c r="M152" s="8">
        <f>G152*2%</f>
        <v>100000</v>
      </c>
      <c r="N152" s="8">
        <f>G152*4%</f>
        <v>200000</v>
      </c>
      <c r="O152" s="8">
        <f>G152*1%</f>
        <v>50000</v>
      </c>
      <c r="P152">
        <v>11</v>
      </c>
      <c r="Q152" s="13">
        <f>P152*200000</f>
        <v>2200000</v>
      </c>
      <c r="R152" s="8">
        <v>3500000</v>
      </c>
      <c r="S152" s="9">
        <f>8%*G152</f>
        <v>400000</v>
      </c>
    </row>
    <row r="153" spans="1:19" x14ac:dyDescent="0.3">
      <c r="A153">
        <v>151</v>
      </c>
      <c r="B153" s="10" t="s">
        <v>346</v>
      </c>
      <c r="C153" s="10" t="s">
        <v>347</v>
      </c>
      <c r="D153" s="11" t="str">
        <f>VLOOKUP(MID(B153,6,1),'Tabel Acuan'!$A$10:$B$17,2,0)</f>
        <v>Human Resources (HR)</v>
      </c>
      <c r="E153" t="str">
        <f>VLOOKUP(MID(B153,8,2),'Tabel Acuan'!$A$1:$B$6,2,0)</f>
        <v>Staff</v>
      </c>
      <c r="F153" s="12">
        <v>44783</v>
      </c>
      <c r="G153" s="8" cm="1">
        <f t="array" ref="G153">INDEX('Tabel Acuan'!$F$4:$F$39,
MATCH(1,('Tabel Acuan'!$D$4:$D$39='Data Gaji Pegawai'!D153)*('Tabel Acuan'!$E$4:$E$39='Data Gaji Pegawai'!E153),0))</f>
        <v>5000000</v>
      </c>
      <c r="H153">
        <f>I153/100000</f>
        <v>6</v>
      </c>
      <c r="I153" s="14">
        <v>600000</v>
      </c>
      <c r="J153">
        <f ca="1">INT((TODAY()-F153)/30.417)</f>
        <v>46</v>
      </c>
      <c r="K153" s="13">
        <f t="shared" ca="1" si="2"/>
        <v>0</v>
      </c>
      <c r="L153" s="8">
        <f>G153*3.7%</f>
        <v>185000.00000000003</v>
      </c>
      <c r="M153" s="8">
        <f>G153*2%</f>
        <v>100000</v>
      </c>
      <c r="N153" s="8">
        <f>G153*4%</f>
        <v>200000</v>
      </c>
      <c r="O153" s="8">
        <f>G153*1%</f>
        <v>50000</v>
      </c>
      <c r="P153">
        <v>11</v>
      </c>
      <c r="Q153" s="13">
        <f>P153*200000</f>
        <v>2200000</v>
      </c>
      <c r="R153" s="8">
        <v>2500000</v>
      </c>
      <c r="S153" s="9">
        <f>8%*G153</f>
        <v>400000</v>
      </c>
    </row>
    <row r="154" spans="1:19" x14ac:dyDescent="0.3">
      <c r="A154">
        <v>152</v>
      </c>
      <c r="B154" s="10" t="s">
        <v>348</v>
      </c>
      <c r="C154" s="10" t="s">
        <v>349</v>
      </c>
      <c r="D154" s="11" t="str">
        <f>VLOOKUP(MID(B154,6,1),'Tabel Acuan'!$A$10:$B$17,2,0)</f>
        <v>Marketing</v>
      </c>
      <c r="E154" t="str">
        <f>VLOOKUP(MID(B154,8,2),'Tabel Acuan'!$A$1:$B$6,2,0)</f>
        <v>Manager</v>
      </c>
      <c r="F154" s="12">
        <v>42348</v>
      </c>
      <c r="G154" s="8" cm="1">
        <f t="array" ref="G154">INDEX('Tabel Acuan'!$F$4:$F$39,
MATCH(1,('Tabel Acuan'!$D$4:$D$39='Data Gaji Pegawai'!D154)*('Tabel Acuan'!$E$4:$E$39='Data Gaji Pegawai'!E154),0))</f>
        <v>13000000</v>
      </c>
      <c r="H154">
        <f>I154/100000</f>
        <v>7</v>
      </c>
      <c r="I154" s="14">
        <v>700000</v>
      </c>
      <c r="J154">
        <f ca="1">INT((TODAY()-F154)/30.417)</f>
        <v>126</v>
      </c>
      <c r="K154" s="13">
        <f t="shared" ca="1" si="2"/>
        <v>0</v>
      </c>
      <c r="L154" s="8">
        <f>G154*3.7%</f>
        <v>481000.00000000006</v>
      </c>
      <c r="M154" s="8">
        <f>G154*2%</f>
        <v>260000</v>
      </c>
      <c r="N154" s="8">
        <f>G154*4%</f>
        <v>520000</v>
      </c>
      <c r="O154" s="8">
        <f>G154*1%</f>
        <v>130000</v>
      </c>
      <c r="P154">
        <v>13</v>
      </c>
      <c r="Q154" s="13">
        <f>P154*200000</f>
        <v>2600000</v>
      </c>
      <c r="R154" s="8">
        <v>3500000</v>
      </c>
      <c r="S154" s="9">
        <f>8%*G154</f>
        <v>1040000</v>
      </c>
    </row>
    <row r="155" spans="1:19" x14ac:dyDescent="0.3">
      <c r="A155">
        <v>153</v>
      </c>
      <c r="B155" s="10" t="s">
        <v>350</v>
      </c>
      <c r="C155" s="10" t="s">
        <v>351</v>
      </c>
      <c r="D155" s="11" t="str">
        <f>VLOOKUP(MID(B155,6,1),'Tabel Acuan'!$A$10:$B$17,2,0)</f>
        <v>Operations</v>
      </c>
      <c r="E155" t="str">
        <f>VLOOKUP(MID(B155,8,2),'Tabel Acuan'!$A$1:$B$6,2,0)</f>
        <v>Assistant Manager</v>
      </c>
      <c r="F155" s="12">
        <v>44504</v>
      </c>
      <c r="G155" s="8" cm="1">
        <f t="array" ref="G155">INDEX('Tabel Acuan'!$F$4:$F$39,
MATCH(1,('Tabel Acuan'!$D$4:$D$39='Data Gaji Pegawai'!D155)*('Tabel Acuan'!$E$4:$E$39='Data Gaji Pegawai'!E155),0))</f>
        <v>9700000</v>
      </c>
      <c r="H155">
        <f>I155/100000</f>
        <v>19</v>
      </c>
      <c r="I155" s="14">
        <v>1900000</v>
      </c>
      <c r="J155">
        <f ca="1">INT((TODAY()-F155)/30.417)</f>
        <v>55</v>
      </c>
      <c r="K155" s="13">
        <f t="shared" ca="1" si="2"/>
        <v>0</v>
      </c>
      <c r="L155" s="8">
        <f>G155*3.7%</f>
        <v>358900.00000000006</v>
      </c>
      <c r="M155" s="8">
        <f>G155*2%</f>
        <v>194000</v>
      </c>
      <c r="N155" s="8">
        <f>G155*4%</f>
        <v>388000</v>
      </c>
      <c r="O155" s="8">
        <f>G155*1%</f>
        <v>97000</v>
      </c>
      <c r="P155">
        <v>11</v>
      </c>
      <c r="Q155" s="13">
        <f>P155*200000</f>
        <v>2200000</v>
      </c>
      <c r="R155" s="8">
        <v>0</v>
      </c>
      <c r="S155" s="9">
        <f>8%*G155</f>
        <v>776000</v>
      </c>
    </row>
    <row r="156" spans="1:19" x14ac:dyDescent="0.3">
      <c r="A156">
        <v>154</v>
      </c>
      <c r="B156" s="10" t="s">
        <v>352</v>
      </c>
      <c r="C156" s="10" t="s">
        <v>353</v>
      </c>
      <c r="D156" s="11" t="str">
        <f>VLOOKUP(MID(B156,6,1),'Tabel Acuan'!$A$10:$B$17,2,0)</f>
        <v>Finance</v>
      </c>
      <c r="E156" t="str">
        <f>VLOOKUP(MID(B156,8,2),'Tabel Acuan'!$A$1:$B$6,2,0)</f>
        <v>Staff</v>
      </c>
      <c r="F156" s="12">
        <v>44982</v>
      </c>
      <c r="G156" s="8" cm="1">
        <f t="array" ref="G156">INDEX('Tabel Acuan'!$F$4:$F$39,
MATCH(1,('Tabel Acuan'!$D$4:$D$39='Data Gaji Pegawai'!D156)*('Tabel Acuan'!$E$4:$E$39='Data Gaji Pegawai'!E156),0))</f>
        <v>5500000</v>
      </c>
      <c r="H156">
        <f>I156/100000</f>
        <v>22</v>
      </c>
      <c r="I156" s="14">
        <v>2200000</v>
      </c>
      <c r="J156">
        <f ca="1">INT((TODAY()-F156)/30.417)</f>
        <v>40</v>
      </c>
      <c r="K156" s="13">
        <f t="shared" ca="1" si="2"/>
        <v>0</v>
      </c>
      <c r="L156" s="8">
        <f>G156*3.7%</f>
        <v>203500.00000000003</v>
      </c>
      <c r="M156" s="8">
        <f>G156*2%</f>
        <v>110000</v>
      </c>
      <c r="N156" s="8">
        <f>G156*4%</f>
        <v>220000</v>
      </c>
      <c r="O156" s="8">
        <f>G156*1%</f>
        <v>55000</v>
      </c>
      <c r="P156">
        <v>11</v>
      </c>
      <c r="Q156" s="13">
        <f>P156*200000</f>
        <v>2200000</v>
      </c>
      <c r="R156" s="8">
        <v>0</v>
      </c>
      <c r="S156" s="9">
        <f>8%*G156</f>
        <v>440000</v>
      </c>
    </row>
    <row r="157" spans="1:19" x14ac:dyDescent="0.3">
      <c r="A157">
        <v>155</v>
      </c>
      <c r="B157" s="10" t="s">
        <v>354</v>
      </c>
      <c r="C157" s="10" t="s">
        <v>355</v>
      </c>
      <c r="D157" s="11" t="str">
        <f>VLOOKUP(MID(B157,6,1),'Tabel Acuan'!$A$10:$B$17,2,0)</f>
        <v>Marketing</v>
      </c>
      <c r="E157" t="str">
        <f>VLOOKUP(MID(B157,8,2),'Tabel Acuan'!$A$1:$B$6,2,0)</f>
        <v>Staff</v>
      </c>
      <c r="F157" s="12">
        <v>43784</v>
      </c>
      <c r="G157" s="8" cm="1">
        <f t="array" ref="G157">INDEX('Tabel Acuan'!$F$4:$F$39,
MATCH(1,('Tabel Acuan'!$D$4:$D$39='Data Gaji Pegawai'!D157)*('Tabel Acuan'!$E$4:$E$39='Data Gaji Pegawai'!E157),0))</f>
        <v>5300000</v>
      </c>
      <c r="H157">
        <f>I157/100000</f>
        <v>39</v>
      </c>
      <c r="I157" s="14">
        <v>3900000</v>
      </c>
      <c r="J157">
        <f ca="1">INT((TODAY()-F157)/30.417)</f>
        <v>79</v>
      </c>
      <c r="K157" s="13">
        <f t="shared" ca="1" si="2"/>
        <v>0</v>
      </c>
      <c r="L157" s="8">
        <f>G157*3.7%</f>
        <v>196100.00000000003</v>
      </c>
      <c r="M157" s="8">
        <f>G157*2%</f>
        <v>106000</v>
      </c>
      <c r="N157" s="8">
        <f>G157*4%</f>
        <v>212000</v>
      </c>
      <c r="O157" s="8">
        <f>G157*1%</f>
        <v>53000</v>
      </c>
      <c r="P157">
        <v>0</v>
      </c>
      <c r="Q157" s="13">
        <f>P157*200000</f>
        <v>0</v>
      </c>
      <c r="R157" s="8">
        <v>3500000</v>
      </c>
      <c r="S157" s="9">
        <f>8%*G157</f>
        <v>424000</v>
      </c>
    </row>
    <row r="158" spans="1:19" x14ac:dyDescent="0.3">
      <c r="A158">
        <v>156</v>
      </c>
      <c r="B158" s="10" t="s">
        <v>356</v>
      </c>
      <c r="C158" s="10" t="s">
        <v>357</v>
      </c>
      <c r="D158" s="11" t="str">
        <f>VLOOKUP(MID(B158,6,1),'Tabel Acuan'!$A$10:$B$17,2,0)</f>
        <v>Human Resources (HR)</v>
      </c>
      <c r="E158" t="str">
        <f>VLOOKUP(MID(B158,8,2),'Tabel Acuan'!$A$1:$B$6,2,0)</f>
        <v>Staff</v>
      </c>
      <c r="F158" s="12">
        <v>43624</v>
      </c>
      <c r="G158" s="8" cm="1">
        <f t="array" ref="G158">INDEX('Tabel Acuan'!$F$4:$F$39,
MATCH(1,('Tabel Acuan'!$D$4:$D$39='Data Gaji Pegawai'!D158)*('Tabel Acuan'!$E$4:$E$39='Data Gaji Pegawai'!E158),0))</f>
        <v>5000000</v>
      </c>
      <c r="H158">
        <f>I158/100000</f>
        <v>58</v>
      </c>
      <c r="I158" s="14">
        <v>5800000</v>
      </c>
      <c r="J158">
        <f ca="1">INT((TODAY()-F158)/30.417)</f>
        <v>84</v>
      </c>
      <c r="K158" s="13">
        <f t="shared" ca="1" si="2"/>
        <v>0</v>
      </c>
      <c r="L158" s="8">
        <f>G158*3.7%</f>
        <v>185000.00000000003</v>
      </c>
      <c r="M158" s="8">
        <f>G158*2%</f>
        <v>100000</v>
      </c>
      <c r="N158" s="8">
        <f>G158*4%</f>
        <v>200000</v>
      </c>
      <c r="O158" s="8">
        <f>G158*1%</f>
        <v>50000</v>
      </c>
      <c r="P158">
        <v>10</v>
      </c>
      <c r="Q158" s="13">
        <f>P158*200000</f>
        <v>2000000</v>
      </c>
      <c r="R158" s="8">
        <v>500000</v>
      </c>
      <c r="S158" s="9">
        <f>8%*G158</f>
        <v>400000</v>
      </c>
    </row>
    <row r="159" spans="1:19" x14ac:dyDescent="0.3">
      <c r="A159">
        <v>157</v>
      </c>
      <c r="B159" s="10" t="s">
        <v>358</v>
      </c>
      <c r="C159" s="10" t="s">
        <v>359</v>
      </c>
      <c r="D159" s="11" t="str">
        <f>VLOOKUP(MID(B159,6,1),'Tabel Acuan'!$A$10:$B$17,2,0)</f>
        <v>Marketing</v>
      </c>
      <c r="E159" t="str">
        <f>VLOOKUP(MID(B159,8,2),'Tabel Acuan'!$A$1:$B$6,2,0)</f>
        <v>Senior Staff</v>
      </c>
      <c r="F159" s="12">
        <v>43060</v>
      </c>
      <c r="G159" s="8" cm="1">
        <f t="array" ref="G159">INDEX('Tabel Acuan'!$F$4:$F$39,
MATCH(1,('Tabel Acuan'!$D$4:$D$39='Data Gaji Pegawai'!D159)*('Tabel Acuan'!$E$4:$E$39='Data Gaji Pegawai'!E159),0))</f>
        <v>6400000</v>
      </c>
      <c r="H159">
        <f>I159/100000</f>
        <v>1</v>
      </c>
      <c r="I159" s="14">
        <v>100000</v>
      </c>
      <c r="J159">
        <f ca="1">INT((TODAY()-F159)/30.417)</f>
        <v>103</v>
      </c>
      <c r="K159" s="13">
        <f t="shared" ca="1" si="2"/>
        <v>0</v>
      </c>
      <c r="L159" s="8">
        <f>G159*3.7%</f>
        <v>236800.00000000003</v>
      </c>
      <c r="M159" s="8">
        <f>G159*2%</f>
        <v>128000</v>
      </c>
      <c r="N159" s="8">
        <f>G159*4%</f>
        <v>256000</v>
      </c>
      <c r="O159" s="8">
        <f>G159*1%</f>
        <v>64000</v>
      </c>
      <c r="P159">
        <v>2</v>
      </c>
      <c r="Q159" s="13">
        <f>P159*200000</f>
        <v>400000</v>
      </c>
      <c r="R159" s="8">
        <v>750000</v>
      </c>
      <c r="S159" s="9">
        <f>8%*G159</f>
        <v>512000</v>
      </c>
    </row>
    <row r="160" spans="1:19" x14ac:dyDescent="0.3">
      <c r="A160">
        <v>158</v>
      </c>
      <c r="B160" s="10" t="s">
        <v>360</v>
      </c>
      <c r="C160" s="10" t="s">
        <v>361</v>
      </c>
      <c r="D160" s="11" t="str">
        <f>VLOOKUP(MID(B160,6,1),'Tabel Acuan'!$A$10:$B$17,2,0)</f>
        <v>Information Technology (IT)</v>
      </c>
      <c r="E160" t="str">
        <f>VLOOKUP(MID(B160,8,2),'Tabel Acuan'!$A$1:$B$6,2,0)</f>
        <v>Senior Staff</v>
      </c>
      <c r="F160" s="12">
        <v>44356</v>
      </c>
      <c r="G160" s="8" cm="1">
        <f t="array" ref="G160">INDEX('Tabel Acuan'!$F$4:$F$39,
MATCH(1,('Tabel Acuan'!$D$4:$D$39='Data Gaji Pegawai'!D160)*('Tabel Acuan'!$E$4:$E$39='Data Gaji Pegawai'!E160),0))</f>
        <v>7500000</v>
      </c>
      <c r="H160">
        <f>I160/100000</f>
        <v>46</v>
      </c>
      <c r="I160" s="14">
        <v>4600000</v>
      </c>
      <c r="J160">
        <f ca="1">INT((TODAY()-F160)/30.417)</f>
        <v>60</v>
      </c>
      <c r="K160" s="13">
        <f t="shared" ca="1" si="2"/>
        <v>0</v>
      </c>
      <c r="L160" s="8">
        <f>G160*3.7%</f>
        <v>277500.00000000006</v>
      </c>
      <c r="M160" s="8">
        <f>G160*2%</f>
        <v>150000</v>
      </c>
      <c r="N160" s="8">
        <f>G160*4%</f>
        <v>300000</v>
      </c>
      <c r="O160" s="8">
        <f>G160*1%</f>
        <v>75000</v>
      </c>
      <c r="P160">
        <v>10</v>
      </c>
      <c r="Q160" s="13">
        <f>P160*200000</f>
        <v>2000000</v>
      </c>
      <c r="R160" s="8">
        <v>3000000</v>
      </c>
      <c r="S160" s="9">
        <f>8%*G160</f>
        <v>600000</v>
      </c>
    </row>
    <row r="161" spans="1:19" x14ac:dyDescent="0.3">
      <c r="A161">
        <v>159</v>
      </c>
      <c r="B161" s="10" t="s">
        <v>362</v>
      </c>
      <c r="C161" s="10" t="s">
        <v>363</v>
      </c>
      <c r="D161" s="11" t="str">
        <f>VLOOKUP(MID(B161,6,1),'Tabel Acuan'!$A$10:$B$17,2,0)</f>
        <v>Human Resources (HR)</v>
      </c>
      <c r="E161" t="str">
        <f>VLOOKUP(MID(B161,8,2),'Tabel Acuan'!$A$1:$B$6,2,0)</f>
        <v>Assistant Manager</v>
      </c>
      <c r="F161" s="12">
        <v>45608</v>
      </c>
      <c r="G161" s="8" cm="1">
        <f t="array" ref="G161">INDEX('Tabel Acuan'!$F$4:$F$39,
MATCH(1,('Tabel Acuan'!$D$4:$D$39='Data Gaji Pegawai'!D161)*('Tabel Acuan'!$E$4:$E$39='Data Gaji Pegawai'!E161),0))</f>
        <v>9000000</v>
      </c>
      <c r="H161">
        <f>I161/100000</f>
        <v>3</v>
      </c>
      <c r="I161" s="14">
        <v>300000</v>
      </c>
      <c r="J161">
        <f ca="1">INT((TODAY()-F161)/30.417)</f>
        <v>19</v>
      </c>
      <c r="K161" s="13">
        <f t="shared" ca="1" si="2"/>
        <v>0</v>
      </c>
      <c r="L161" s="8">
        <f>G161*3.7%</f>
        <v>333000.00000000006</v>
      </c>
      <c r="M161" s="8">
        <f>G161*2%</f>
        <v>180000</v>
      </c>
      <c r="N161" s="8">
        <f>G161*4%</f>
        <v>360000</v>
      </c>
      <c r="O161" s="8">
        <f>G161*1%</f>
        <v>90000</v>
      </c>
      <c r="P161">
        <v>2</v>
      </c>
      <c r="Q161" s="13">
        <f>P161*200000</f>
        <v>400000</v>
      </c>
      <c r="R161" s="8">
        <v>0</v>
      </c>
      <c r="S161" s="9">
        <f>8%*G161</f>
        <v>720000</v>
      </c>
    </row>
    <row r="162" spans="1:19" x14ac:dyDescent="0.3">
      <c r="A162">
        <v>160</v>
      </c>
      <c r="B162" s="10" t="s">
        <v>364</v>
      </c>
      <c r="C162" s="10" t="s">
        <v>365</v>
      </c>
      <c r="D162" s="11" t="str">
        <f>VLOOKUP(MID(B162,6,1),'Tabel Acuan'!$A$10:$B$17,2,0)</f>
        <v>Information Technology (IT)</v>
      </c>
      <c r="E162" t="str">
        <f>VLOOKUP(MID(B162,8,2),'Tabel Acuan'!$A$1:$B$6,2,0)</f>
        <v>Senior Staff</v>
      </c>
      <c r="F162" s="12">
        <v>45797</v>
      </c>
      <c r="G162" s="8" cm="1">
        <f t="array" ref="G162">INDEX('Tabel Acuan'!$F$4:$F$39,
MATCH(1,('Tabel Acuan'!$D$4:$D$39='Data Gaji Pegawai'!D162)*('Tabel Acuan'!$E$4:$E$39='Data Gaji Pegawai'!E162),0))</f>
        <v>7500000</v>
      </c>
      <c r="H162">
        <f>I162/100000</f>
        <v>13</v>
      </c>
      <c r="I162" s="14">
        <v>1300000</v>
      </c>
      <c r="J162">
        <f ca="1">INT((TODAY()-F162)/30.417)</f>
        <v>13</v>
      </c>
      <c r="K162" s="13">
        <f t="shared" ca="1" si="2"/>
        <v>0</v>
      </c>
      <c r="L162" s="8">
        <f>G162*3.7%</f>
        <v>277500.00000000006</v>
      </c>
      <c r="M162" s="8">
        <f>G162*2%</f>
        <v>150000</v>
      </c>
      <c r="N162" s="8">
        <f>G162*4%</f>
        <v>300000</v>
      </c>
      <c r="O162" s="8">
        <f>G162*1%</f>
        <v>75000</v>
      </c>
      <c r="P162">
        <v>3</v>
      </c>
      <c r="Q162" s="13">
        <f>P162*200000</f>
        <v>600000</v>
      </c>
      <c r="R162" s="8">
        <v>0</v>
      </c>
      <c r="S162" s="9">
        <f>8%*G162</f>
        <v>600000</v>
      </c>
    </row>
    <row r="163" spans="1:19" x14ac:dyDescent="0.3">
      <c r="A163">
        <v>161</v>
      </c>
      <c r="B163" s="10" t="s">
        <v>366</v>
      </c>
      <c r="C163" s="10" t="s">
        <v>367</v>
      </c>
      <c r="D163" s="11" t="str">
        <f>VLOOKUP(MID(B163,6,1),'Tabel Acuan'!$A$10:$B$17,2,0)</f>
        <v>Logistics</v>
      </c>
      <c r="E163" t="str">
        <f>VLOOKUP(MID(B163,8,2),'Tabel Acuan'!$A$1:$B$6,2,0)</f>
        <v>Senior Staff</v>
      </c>
      <c r="F163" s="12">
        <v>42639</v>
      </c>
      <c r="G163" s="8" cm="1">
        <f t="array" ref="G163">INDEX('Tabel Acuan'!$F$4:$F$39,
MATCH(1,('Tabel Acuan'!$D$4:$D$39='Data Gaji Pegawai'!D163)*('Tabel Acuan'!$E$4:$E$39='Data Gaji Pegawai'!E163),0))</f>
        <v>6250000</v>
      </c>
      <c r="H163">
        <f>I163/100000</f>
        <v>42</v>
      </c>
      <c r="I163" s="14">
        <v>4200000</v>
      </c>
      <c r="J163">
        <f ca="1">INT((TODAY()-F163)/30.417)</f>
        <v>117</v>
      </c>
      <c r="K163" s="13">
        <f t="shared" ca="1" si="2"/>
        <v>0</v>
      </c>
      <c r="L163" s="8">
        <f>G163*3.7%</f>
        <v>231250.00000000003</v>
      </c>
      <c r="M163" s="8">
        <f>G163*2%</f>
        <v>125000</v>
      </c>
      <c r="N163" s="8">
        <f>G163*4%</f>
        <v>250000</v>
      </c>
      <c r="O163" s="8">
        <f>G163*1%</f>
        <v>62500</v>
      </c>
      <c r="P163">
        <v>9</v>
      </c>
      <c r="Q163" s="13">
        <f>P163*200000</f>
        <v>1800000</v>
      </c>
      <c r="R163" s="8">
        <v>0</v>
      </c>
      <c r="S163" s="9">
        <f>8%*G163</f>
        <v>500000</v>
      </c>
    </row>
    <row r="164" spans="1:19" x14ac:dyDescent="0.3">
      <c r="A164">
        <v>162</v>
      </c>
      <c r="B164" s="10" t="s">
        <v>368</v>
      </c>
      <c r="C164" s="10" t="s">
        <v>369</v>
      </c>
      <c r="D164" s="11" t="str">
        <f>VLOOKUP(MID(B164,6,1),'Tabel Acuan'!$A$10:$B$17,2,0)</f>
        <v>Marketing</v>
      </c>
      <c r="E164" t="str">
        <f>VLOOKUP(MID(B164,8,2),'Tabel Acuan'!$A$1:$B$6,2,0)</f>
        <v>Staff</v>
      </c>
      <c r="F164" s="12">
        <v>44305</v>
      </c>
      <c r="G164" s="8" cm="1">
        <f t="array" ref="G164">INDEX('Tabel Acuan'!$F$4:$F$39,
MATCH(1,('Tabel Acuan'!$D$4:$D$39='Data Gaji Pegawai'!D164)*('Tabel Acuan'!$E$4:$E$39='Data Gaji Pegawai'!E164),0))</f>
        <v>5300000</v>
      </c>
      <c r="H164">
        <f>I164/100000</f>
        <v>49</v>
      </c>
      <c r="I164" s="14">
        <v>4900000</v>
      </c>
      <c r="J164">
        <f ca="1">INT((TODAY()-F164)/30.417)</f>
        <v>62</v>
      </c>
      <c r="K164" s="13">
        <f t="shared" ca="1" si="2"/>
        <v>0</v>
      </c>
      <c r="L164" s="8">
        <f>G164*3.7%</f>
        <v>196100.00000000003</v>
      </c>
      <c r="M164" s="8">
        <f>G164*2%</f>
        <v>106000</v>
      </c>
      <c r="N164" s="8">
        <f>G164*4%</f>
        <v>212000</v>
      </c>
      <c r="O164" s="8">
        <f>G164*1%</f>
        <v>53000</v>
      </c>
      <c r="P164">
        <v>4</v>
      </c>
      <c r="Q164" s="13">
        <f>P164*200000</f>
        <v>800000</v>
      </c>
      <c r="R164" s="8">
        <v>1000000</v>
      </c>
      <c r="S164" s="9">
        <f>8%*G164</f>
        <v>424000</v>
      </c>
    </row>
    <row r="165" spans="1:19" x14ac:dyDescent="0.3">
      <c r="A165">
        <v>163</v>
      </c>
      <c r="B165" s="10" t="s">
        <v>370</v>
      </c>
      <c r="C165" s="10" t="s">
        <v>371</v>
      </c>
      <c r="D165" s="11" t="str">
        <f>VLOOKUP(MID(B165,6,1),'Tabel Acuan'!$A$10:$B$17,2,0)</f>
        <v>Human Resources (HR)</v>
      </c>
      <c r="E165" t="str">
        <f>VLOOKUP(MID(B165,8,2),'Tabel Acuan'!$A$1:$B$6,2,0)</f>
        <v>Staff</v>
      </c>
      <c r="F165" s="12">
        <v>43920</v>
      </c>
      <c r="G165" s="8" cm="1">
        <f t="array" ref="G165">INDEX('Tabel Acuan'!$F$4:$F$39,
MATCH(1,('Tabel Acuan'!$D$4:$D$39='Data Gaji Pegawai'!D165)*('Tabel Acuan'!$E$4:$E$39='Data Gaji Pegawai'!E165),0))</f>
        <v>5000000</v>
      </c>
      <c r="H165">
        <f>I165/100000</f>
        <v>8</v>
      </c>
      <c r="I165" s="14">
        <v>800000</v>
      </c>
      <c r="J165">
        <f ca="1">INT((TODAY()-F165)/30.417)</f>
        <v>75</v>
      </c>
      <c r="K165" s="13">
        <f t="shared" ca="1" si="2"/>
        <v>0</v>
      </c>
      <c r="L165" s="8">
        <f>G165*3.7%</f>
        <v>185000.00000000003</v>
      </c>
      <c r="M165" s="8">
        <f>G165*2%</f>
        <v>100000</v>
      </c>
      <c r="N165" s="8">
        <f>G165*4%</f>
        <v>200000</v>
      </c>
      <c r="O165" s="8">
        <f>G165*1%</f>
        <v>50000</v>
      </c>
      <c r="P165">
        <v>12</v>
      </c>
      <c r="Q165" s="13">
        <f>P165*200000</f>
        <v>2400000</v>
      </c>
      <c r="R165" s="8">
        <v>750000</v>
      </c>
      <c r="S165" s="9">
        <f>8%*G165</f>
        <v>400000</v>
      </c>
    </row>
    <row r="166" spans="1:19" x14ac:dyDescent="0.3">
      <c r="A166">
        <v>164</v>
      </c>
      <c r="B166" s="10" t="s">
        <v>372</v>
      </c>
      <c r="C166" s="10" t="s">
        <v>373</v>
      </c>
      <c r="D166" s="11" t="str">
        <f>VLOOKUP(MID(B166,6,1),'Tabel Acuan'!$A$10:$B$17,2,0)</f>
        <v>Marketing</v>
      </c>
      <c r="E166" t="str">
        <f>VLOOKUP(MID(B166,8,2),'Tabel Acuan'!$A$1:$B$6,2,0)</f>
        <v>Supervisor</v>
      </c>
      <c r="F166" s="12">
        <v>45130</v>
      </c>
      <c r="G166" s="8" cm="1">
        <f t="array" ref="G166">INDEX('Tabel Acuan'!$F$4:$F$39,
MATCH(1,('Tabel Acuan'!$D$4:$D$39='Data Gaji Pegawai'!D166)*('Tabel Acuan'!$E$4:$E$39='Data Gaji Pegawai'!E166),0))</f>
        <v>7800000</v>
      </c>
      <c r="H166">
        <f>I166/100000</f>
        <v>55</v>
      </c>
      <c r="I166" s="14">
        <v>5500000</v>
      </c>
      <c r="J166">
        <f ca="1">INT((TODAY()-F166)/30.417)</f>
        <v>35</v>
      </c>
      <c r="K166" s="13">
        <f t="shared" ca="1" si="2"/>
        <v>0</v>
      </c>
      <c r="L166" s="8">
        <f>G166*3.7%</f>
        <v>288600.00000000006</v>
      </c>
      <c r="M166" s="8">
        <f>G166*2%</f>
        <v>156000</v>
      </c>
      <c r="N166" s="8">
        <f>G166*4%</f>
        <v>312000</v>
      </c>
      <c r="O166" s="8">
        <f>G166*1%</f>
        <v>78000</v>
      </c>
      <c r="P166">
        <v>1</v>
      </c>
      <c r="Q166" s="13">
        <f>P166*200000</f>
        <v>200000</v>
      </c>
      <c r="R166" s="8">
        <v>2000000</v>
      </c>
      <c r="S166" s="9">
        <f>8%*G166</f>
        <v>624000</v>
      </c>
    </row>
    <row r="167" spans="1:19" x14ac:dyDescent="0.3">
      <c r="A167">
        <v>165</v>
      </c>
      <c r="B167" s="10" t="s">
        <v>374</v>
      </c>
      <c r="C167" s="10" t="s">
        <v>375</v>
      </c>
      <c r="D167" s="11" t="str">
        <f>VLOOKUP(MID(B167,6,1),'Tabel Acuan'!$A$10:$B$17,2,0)</f>
        <v>Operations</v>
      </c>
      <c r="E167" t="str">
        <f>VLOOKUP(MID(B167,8,2),'Tabel Acuan'!$A$1:$B$6,2,0)</f>
        <v>Staff</v>
      </c>
      <c r="F167" s="12">
        <v>42577</v>
      </c>
      <c r="G167" s="8" cm="1">
        <f t="array" ref="G167">INDEX('Tabel Acuan'!$F$4:$F$39,
MATCH(1,('Tabel Acuan'!$D$4:$D$39='Data Gaji Pegawai'!D167)*('Tabel Acuan'!$E$4:$E$39='Data Gaji Pegawai'!E167),0))</f>
        <v>5200000</v>
      </c>
      <c r="H167">
        <f>I167/100000</f>
        <v>45</v>
      </c>
      <c r="I167" s="14">
        <v>4500000</v>
      </c>
      <c r="J167">
        <f ca="1">INT((TODAY()-F167)/30.417)</f>
        <v>119</v>
      </c>
      <c r="K167" s="13">
        <f t="shared" ca="1" si="2"/>
        <v>0</v>
      </c>
      <c r="L167" s="8">
        <f>G167*3.7%</f>
        <v>192400.00000000003</v>
      </c>
      <c r="M167" s="8">
        <f>G167*2%</f>
        <v>104000</v>
      </c>
      <c r="N167" s="8">
        <f>G167*4%</f>
        <v>208000</v>
      </c>
      <c r="O167" s="8">
        <f>G167*1%</f>
        <v>52000</v>
      </c>
      <c r="P167">
        <v>13</v>
      </c>
      <c r="Q167" s="13">
        <f>P167*200000</f>
        <v>2600000</v>
      </c>
      <c r="R167" s="8">
        <v>0</v>
      </c>
      <c r="S167" s="9">
        <f>8%*G167</f>
        <v>416000</v>
      </c>
    </row>
    <row r="168" spans="1:19" x14ac:dyDescent="0.3">
      <c r="A168">
        <v>166</v>
      </c>
      <c r="B168" s="10" t="s">
        <v>376</v>
      </c>
      <c r="C168" s="10" t="s">
        <v>377</v>
      </c>
      <c r="D168" s="11" t="str">
        <f>VLOOKUP(MID(B168,6,1),'Tabel Acuan'!$A$10:$B$17,2,0)</f>
        <v>Human Resources (HR)</v>
      </c>
      <c r="E168" t="str">
        <f>VLOOKUP(MID(B168,8,2),'Tabel Acuan'!$A$1:$B$6,2,0)</f>
        <v>Manager</v>
      </c>
      <c r="F168" s="12">
        <v>44432</v>
      </c>
      <c r="G168" s="8" cm="1">
        <f t="array" ref="G168">INDEX('Tabel Acuan'!$F$4:$F$39,
MATCH(1,('Tabel Acuan'!$D$4:$D$39='Data Gaji Pegawai'!D168)*('Tabel Acuan'!$E$4:$E$39='Data Gaji Pegawai'!E168),0))</f>
        <v>12000000</v>
      </c>
      <c r="H168">
        <f>I168/100000</f>
        <v>53</v>
      </c>
      <c r="I168" s="14">
        <v>5300000</v>
      </c>
      <c r="J168">
        <f ca="1">INT((TODAY()-F168)/30.417)</f>
        <v>58</v>
      </c>
      <c r="K168" s="13">
        <f t="shared" ca="1" si="2"/>
        <v>0</v>
      </c>
      <c r="L168" s="8">
        <f>G168*3.7%</f>
        <v>444000.00000000006</v>
      </c>
      <c r="M168" s="8">
        <f>G168*2%</f>
        <v>240000</v>
      </c>
      <c r="N168" s="8">
        <f>G168*4%</f>
        <v>480000</v>
      </c>
      <c r="O168" s="8">
        <f>G168*1%</f>
        <v>120000</v>
      </c>
      <c r="P168">
        <v>11</v>
      </c>
      <c r="Q168" s="13">
        <f>P168*200000</f>
        <v>2200000</v>
      </c>
      <c r="R168" s="8">
        <v>0</v>
      </c>
      <c r="S168" s="9">
        <f>8%*G168</f>
        <v>960000</v>
      </c>
    </row>
    <row r="169" spans="1:19" x14ac:dyDescent="0.3">
      <c r="A169">
        <v>167</v>
      </c>
      <c r="B169" s="10" t="s">
        <v>378</v>
      </c>
      <c r="C169" s="10" t="s">
        <v>379</v>
      </c>
      <c r="D169" s="11" t="str">
        <f>VLOOKUP(MID(B169,6,1),'Tabel Acuan'!$A$10:$B$17,2,0)</f>
        <v>Finance</v>
      </c>
      <c r="E169" t="str">
        <f>VLOOKUP(MID(B169,8,2),'Tabel Acuan'!$A$1:$B$6,2,0)</f>
        <v>Senior Staff</v>
      </c>
      <c r="F169" s="12">
        <v>42410</v>
      </c>
      <c r="G169" s="8" cm="1">
        <f t="array" ref="G169">INDEX('Tabel Acuan'!$F$4:$F$39,
MATCH(1,('Tabel Acuan'!$D$4:$D$39='Data Gaji Pegawai'!D169)*('Tabel Acuan'!$E$4:$E$39='Data Gaji Pegawai'!E169),0))</f>
        <v>6600000</v>
      </c>
      <c r="H169">
        <f>I169/100000</f>
        <v>25</v>
      </c>
      <c r="I169" s="14">
        <v>2500000</v>
      </c>
      <c r="J169">
        <f ca="1">INT((TODAY()-F169)/30.417)</f>
        <v>124</v>
      </c>
      <c r="K169" s="13">
        <f t="shared" ca="1" si="2"/>
        <v>0</v>
      </c>
      <c r="L169" s="8">
        <f>G169*3.7%</f>
        <v>244200.00000000003</v>
      </c>
      <c r="M169" s="8">
        <f>G169*2%</f>
        <v>132000</v>
      </c>
      <c r="N169" s="8">
        <f>G169*4%</f>
        <v>264000</v>
      </c>
      <c r="O169" s="8">
        <f>G169*1%</f>
        <v>66000</v>
      </c>
      <c r="P169">
        <v>9</v>
      </c>
      <c r="Q169" s="13">
        <f>P169*200000</f>
        <v>1800000</v>
      </c>
      <c r="R169" s="8">
        <v>750000</v>
      </c>
      <c r="S169" s="9">
        <f>8%*G169</f>
        <v>528000</v>
      </c>
    </row>
    <row r="170" spans="1:19" x14ac:dyDescent="0.3">
      <c r="A170">
        <v>168</v>
      </c>
      <c r="B170" s="10" t="s">
        <v>380</v>
      </c>
      <c r="C170" s="10" t="s">
        <v>381</v>
      </c>
      <c r="D170" s="11" t="str">
        <f>VLOOKUP(MID(B170,6,1),'Tabel Acuan'!$A$10:$B$17,2,0)</f>
        <v>Operations</v>
      </c>
      <c r="E170" t="str">
        <f>VLOOKUP(MID(B170,8,2),'Tabel Acuan'!$A$1:$B$6,2,0)</f>
        <v>Staff</v>
      </c>
      <c r="F170" s="12">
        <v>43889</v>
      </c>
      <c r="G170" s="8" cm="1">
        <f t="array" ref="G170">INDEX('Tabel Acuan'!$F$4:$F$39,
MATCH(1,('Tabel Acuan'!$D$4:$D$39='Data Gaji Pegawai'!D170)*('Tabel Acuan'!$E$4:$E$39='Data Gaji Pegawai'!E170),0))</f>
        <v>5200000</v>
      </c>
      <c r="H170">
        <f>I170/100000</f>
        <v>33</v>
      </c>
      <c r="I170" s="14">
        <v>3300000</v>
      </c>
      <c r="J170">
        <f ca="1">INT((TODAY()-F170)/30.417)</f>
        <v>76</v>
      </c>
      <c r="K170" s="13">
        <f t="shared" ca="1" si="2"/>
        <v>0</v>
      </c>
      <c r="L170" s="8">
        <f>G170*3.7%</f>
        <v>192400.00000000003</v>
      </c>
      <c r="M170" s="8">
        <f>G170*2%</f>
        <v>104000</v>
      </c>
      <c r="N170" s="8">
        <f>G170*4%</f>
        <v>208000</v>
      </c>
      <c r="O170" s="8">
        <f>G170*1%</f>
        <v>52000</v>
      </c>
      <c r="P170">
        <v>6</v>
      </c>
      <c r="Q170" s="13">
        <f>P170*200000</f>
        <v>1200000</v>
      </c>
      <c r="R170" s="8">
        <v>1250000</v>
      </c>
      <c r="S170" s="9">
        <f>8%*G170</f>
        <v>416000</v>
      </c>
    </row>
    <row r="171" spans="1:19" x14ac:dyDescent="0.3">
      <c r="A171">
        <v>169</v>
      </c>
      <c r="B171" s="10" t="s">
        <v>382</v>
      </c>
      <c r="C171" s="10" t="s">
        <v>261</v>
      </c>
      <c r="D171" s="11" t="str">
        <f>VLOOKUP(MID(B171,6,1),'Tabel Acuan'!$A$10:$B$17,2,0)</f>
        <v>Sales</v>
      </c>
      <c r="E171" t="str">
        <f>VLOOKUP(MID(B171,8,2),'Tabel Acuan'!$A$1:$B$6,2,0)</f>
        <v>Manager</v>
      </c>
      <c r="F171" s="12">
        <v>43951</v>
      </c>
      <c r="G171" s="8" cm="1">
        <f t="array" ref="G171">INDEX('Tabel Acuan'!$F$4:$F$39,
MATCH(1,('Tabel Acuan'!$D$4:$D$39='Data Gaji Pegawai'!D171)*('Tabel Acuan'!$E$4:$E$39='Data Gaji Pegawai'!E171),0))</f>
        <v>13000000</v>
      </c>
      <c r="H171">
        <f>I171/100000</f>
        <v>6</v>
      </c>
      <c r="I171" s="14">
        <v>600000</v>
      </c>
      <c r="J171">
        <f ca="1">INT((TODAY()-F171)/30.417)</f>
        <v>74</v>
      </c>
      <c r="K171" s="13">
        <f t="shared" ca="1" si="2"/>
        <v>0</v>
      </c>
      <c r="L171" s="8">
        <f>G171*3.7%</f>
        <v>481000.00000000006</v>
      </c>
      <c r="M171" s="8">
        <f>G171*2%</f>
        <v>260000</v>
      </c>
      <c r="N171" s="8">
        <f>G171*4%</f>
        <v>520000</v>
      </c>
      <c r="O171" s="8">
        <f>G171*1%</f>
        <v>130000</v>
      </c>
      <c r="P171">
        <v>4</v>
      </c>
      <c r="Q171" s="13">
        <f>P171*200000</f>
        <v>800000</v>
      </c>
      <c r="R171" s="8">
        <v>0</v>
      </c>
      <c r="S171" s="9">
        <f>8%*G171</f>
        <v>1040000</v>
      </c>
    </row>
    <row r="172" spans="1:19" x14ac:dyDescent="0.3">
      <c r="A172">
        <v>170</v>
      </c>
      <c r="B172" s="10" t="s">
        <v>383</v>
      </c>
      <c r="C172" s="10" t="s">
        <v>384</v>
      </c>
      <c r="D172" s="11" t="str">
        <f>VLOOKUP(MID(B172,6,1),'Tabel Acuan'!$A$10:$B$17,2,0)</f>
        <v>Marketing</v>
      </c>
      <c r="E172" t="str">
        <f>VLOOKUP(MID(B172,8,2),'Tabel Acuan'!$A$1:$B$6,2,0)</f>
        <v>Staff</v>
      </c>
      <c r="F172" s="12">
        <v>42774</v>
      </c>
      <c r="G172" s="8" cm="1">
        <f t="array" ref="G172">INDEX('Tabel Acuan'!$F$4:$F$39,
MATCH(1,('Tabel Acuan'!$D$4:$D$39='Data Gaji Pegawai'!D172)*('Tabel Acuan'!$E$4:$E$39='Data Gaji Pegawai'!E172),0))</f>
        <v>5300000</v>
      </c>
      <c r="H172">
        <f>I172/100000</f>
        <v>11</v>
      </c>
      <c r="I172" s="14">
        <v>1100000</v>
      </c>
      <c r="J172">
        <f ca="1">INT((TODAY()-F172)/30.417)</f>
        <v>112</v>
      </c>
      <c r="K172" s="13">
        <f t="shared" ca="1" si="2"/>
        <v>0</v>
      </c>
      <c r="L172" s="8">
        <f>G172*3.7%</f>
        <v>196100.00000000003</v>
      </c>
      <c r="M172" s="8">
        <f>G172*2%</f>
        <v>106000</v>
      </c>
      <c r="N172" s="8">
        <f>G172*4%</f>
        <v>212000</v>
      </c>
      <c r="O172" s="8">
        <f>G172*1%</f>
        <v>53000</v>
      </c>
      <c r="P172">
        <v>15</v>
      </c>
      <c r="Q172" s="13">
        <f>P172*200000</f>
        <v>3000000</v>
      </c>
      <c r="R172" s="8">
        <v>3000000</v>
      </c>
      <c r="S172" s="9">
        <f>8%*G172</f>
        <v>424000</v>
      </c>
    </row>
    <row r="173" spans="1:19" x14ac:dyDescent="0.3">
      <c r="A173">
        <v>171</v>
      </c>
      <c r="B173" s="10" t="s">
        <v>385</v>
      </c>
      <c r="C173" s="10" t="s">
        <v>386</v>
      </c>
      <c r="D173" s="11" t="str">
        <f>VLOOKUP(MID(B173,6,1),'Tabel Acuan'!$A$10:$B$17,2,0)</f>
        <v>Information Technology (IT)</v>
      </c>
      <c r="E173" t="str">
        <f>VLOOKUP(MID(B173,8,2),'Tabel Acuan'!$A$1:$B$6,2,0)</f>
        <v>Supervisor</v>
      </c>
      <c r="F173" s="12">
        <v>45617</v>
      </c>
      <c r="G173" s="8" cm="1">
        <f t="array" ref="G173">INDEX('Tabel Acuan'!$F$4:$F$39,
MATCH(1,('Tabel Acuan'!$D$4:$D$39='Data Gaji Pegawai'!D173)*('Tabel Acuan'!$E$4:$E$39='Data Gaji Pegawai'!E173),0))</f>
        <v>9000000</v>
      </c>
      <c r="H173">
        <f>I173/100000</f>
        <v>39</v>
      </c>
      <c r="I173" s="14">
        <v>3900000</v>
      </c>
      <c r="J173">
        <f ca="1">INT((TODAY()-F173)/30.417)</f>
        <v>19</v>
      </c>
      <c r="K173" s="13">
        <f t="shared" ca="1" si="2"/>
        <v>0</v>
      </c>
      <c r="L173" s="8">
        <f>G173*3.7%</f>
        <v>333000.00000000006</v>
      </c>
      <c r="M173" s="8">
        <f>G173*2%</f>
        <v>180000</v>
      </c>
      <c r="N173" s="8">
        <f>G173*4%</f>
        <v>360000</v>
      </c>
      <c r="O173" s="8">
        <f>G173*1%</f>
        <v>90000</v>
      </c>
      <c r="P173">
        <v>10</v>
      </c>
      <c r="Q173" s="13">
        <f>P173*200000</f>
        <v>2000000</v>
      </c>
      <c r="R173" s="8">
        <v>3500000</v>
      </c>
      <c r="S173" s="9">
        <f>8%*G173</f>
        <v>720000</v>
      </c>
    </row>
    <row r="174" spans="1:19" x14ac:dyDescent="0.3">
      <c r="A174">
        <v>172</v>
      </c>
      <c r="B174" s="10" t="s">
        <v>387</v>
      </c>
      <c r="C174" s="10" t="s">
        <v>388</v>
      </c>
      <c r="D174" s="11" t="str">
        <f>VLOOKUP(MID(B174,6,1),'Tabel Acuan'!$A$10:$B$17,2,0)</f>
        <v>Finance</v>
      </c>
      <c r="E174" t="str">
        <f>VLOOKUP(MID(B174,8,2),'Tabel Acuan'!$A$1:$B$6,2,0)</f>
        <v>Senior Staff</v>
      </c>
      <c r="F174" s="12">
        <v>44154</v>
      </c>
      <c r="G174" s="8" cm="1">
        <f t="array" ref="G174">INDEX('Tabel Acuan'!$F$4:$F$39,
MATCH(1,('Tabel Acuan'!$D$4:$D$39='Data Gaji Pegawai'!D174)*('Tabel Acuan'!$E$4:$E$39='Data Gaji Pegawai'!E174),0))</f>
        <v>6600000</v>
      </c>
      <c r="H174">
        <f>I174/100000</f>
        <v>19</v>
      </c>
      <c r="I174" s="14">
        <v>1900000</v>
      </c>
      <c r="J174">
        <f ca="1">INT((TODAY()-F174)/30.417)</f>
        <v>67</v>
      </c>
      <c r="K174" s="13">
        <f t="shared" ca="1" si="2"/>
        <v>0</v>
      </c>
      <c r="L174" s="8">
        <f>G174*3.7%</f>
        <v>244200.00000000003</v>
      </c>
      <c r="M174" s="8">
        <f>G174*2%</f>
        <v>132000</v>
      </c>
      <c r="N174" s="8">
        <f>G174*4%</f>
        <v>264000</v>
      </c>
      <c r="O174" s="8">
        <f>G174*1%</f>
        <v>66000</v>
      </c>
      <c r="P174">
        <v>8</v>
      </c>
      <c r="Q174" s="13">
        <f>P174*200000</f>
        <v>1600000</v>
      </c>
      <c r="R174" s="8">
        <v>1250000</v>
      </c>
      <c r="S174" s="9">
        <f>8%*G174</f>
        <v>528000</v>
      </c>
    </row>
    <row r="175" spans="1:19" x14ac:dyDescent="0.3">
      <c r="A175">
        <v>173</v>
      </c>
      <c r="B175" s="10" t="s">
        <v>389</v>
      </c>
      <c r="C175" s="10" t="s">
        <v>390</v>
      </c>
      <c r="D175" s="11" t="str">
        <f>VLOOKUP(MID(B175,6,1),'Tabel Acuan'!$A$10:$B$17,2,0)</f>
        <v>Human Resources (HR)</v>
      </c>
      <c r="E175" t="str">
        <f>VLOOKUP(MID(B175,8,2),'Tabel Acuan'!$A$1:$B$6,2,0)</f>
        <v>Staff</v>
      </c>
      <c r="F175" s="12">
        <v>44956</v>
      </c>
      <c r="G175" s="8" cm="1">
        <f t="array" ref="G175">INDEX('Tabel Acuan'!$F$4:$F$39,
MATCH(1,('Tabel Acuan'!$D$4:$D$39='Data Gaji Pegawai'!D175)*('Tabel Acuan'!$E$4:$E$39='Data Gaji Pegawai'!E175),0))</f>
        <v>5000000</v>
      </c>
      <c r="H175">
        <f>I175/100000</f>
        <v>23</v>
      </c>
      <c r="I175" s="14">
        <v>2300000</v>
      </c>
      <c r="J175">
        <f ca="1">INT((TODAY()-F175)/30.417)</f>
        <v>41</v>
      </c>
      <c r="K175" s="13">
        <f t="shared" ca="1" si="2"/>
        <v>0</v>
      </c>
      <c r="L175" s="8">
        <f>G175*3.7%</f>
        <v>185000.00000000003</v>
      </c>
      <c r="M175" s="8">
        <f>G175*2%</f>
        <v>100000</v>
      </c>
      <c r="N175" s="8">
        <f>G175*4%</f>
        <v>200000</v>
      </c>
      <c r="O175" s="8">
        <f>G175*1%</f>
        <v>50000</v>
      </c>
      <c r="P175">
        <v>9</v>
      </c>
      <c r="Q175" s="13">
        <f>P175*200000</f>
        <v>1800000</v>
      </c>
      <c r="R175" s="8">
        <v>0</v>
      </c>
      <c r="S175" s="9">
        <f>8%*G175</f>
        <v>400000</v>
      </c>
    </row>
    <row r="176" spans="1:19" x14ac:dyDescent="0.3">
      <c r="A176">
        <v>174</v>
      </c>
      <c r="B176" s="10" t="s">
        <v>391</v>
      </c>
      <c r="C176" s="10" t="s">
        <v>392</v>
      </c>
      <c r="D176" s="11" t="str">
        <f>VLOOKUP(MID(B176,6,1),'Tabel Acuan'!$A$10:$B$17,2,0)</f>
        <v>Marketing</v>
      </c>
      <c r="E176" t="str">
        <f>VLOOKUP(MID(B176,8,2),'Tabel Acuan'!$A$1:$B$6,2,0)</f>
        <v>Senior Staff</v>
      </c>
      <c r="F176" s="12">
        <v>42667</v>
      </c>
      <c r="G176" s="8" cm="1">
        <f t="array" ref="G176">INDEX('Tabel Acuan'!$F$4:$F$39,
MATCH(1,('Tabel Acuan'!$D$4:$D$39='Data Gaji Pegawai'!D176)*('Tabel Acuan'!$E$4:$E$39='Data Gaji Pegawai'!E176),0))</f>
        <v>6400000</v>
      </c>
      <c r="H176">
        <f>I176/100000</f>
        <v>35</v>
      </c>
      <c r="I176" s="14">
        <v>3500000</v>
      </c>
      <c r="J176">
        <f ca="1">INT((TODAY()-F176)/30.417)</f>
        <v>116</v>
      </c>
      <c r="K176" s="13">
        <f t="shared" ca="1" si="2"/>
        <v>0</v>
      </c>
      <c r="L176" s="8">
        <f>G176*3.7%</f>
        <v>236800.00000000003</v>
      </c>
      <c r="M176" s="8">
        <f>G176*2%</f>
        <v>128000</v>
      </c>
      <c r="N176" s="8">
        <f>G176*4%</f>
        <v>256000</v>
      </c>
      <c r="O176" s="8">
        <f>G176*1%</f>
        <v>64000</v>
      </c>
      <c r="P176">
        <v>1</v>
      </c>
      <c r="Q176" s="13">
        <f>P176*200000</f>
        <v>200000</v>
      </c>
      <c r="R176" s="8">
        <v>5000000</v>
      </c>
      <c r="S176" s="9">
        <f>8%*G176</f>
        <v>512000</v>
      </c>
    </row>
    <row r="177" spans="1:19" x14ac:dyDescent="0.3">
      <c r="A177">
        <v>175</v>
      </c>
      <c r="B177" s="10" t="s">
        <v>393</v>
      </c>
      <c r="C177" s="10" t="s">
        <v>394</v>
      </c>
      <c r="D177" s="11" t="str">
        <f>VLOOKUP(MID(B177,6,1),'Tabel Acuan'!$A$10:$B$17,2,0)</f>
        <v>Sales</v>
      </c>
      <c r="E177" t="str">
        <f>VLOOKUP(MID(B177,8,2),'Tabel Acuan'!$A$1:$B$6,2,0)</f>
        <v>Staff</v>
      </c>
      <c r="F177" s="12">
        <v>45548</v>
      </c>
      <c r="G177" s="8" cm="1">
        <f t="array" ref="G177">INDEX('Tabel Acuan'!$F$4:$F$39,
MATCH(1,('Tabel Acuan'!$D$4:$D$39='Data Gaji Pegawai'!D177)*('Tabel Acuan'!$E$4:$E$39='Data Gaji Pegawai'!E177),0))</f>
        <v>5000000</v>
      </c>
      <c r="H177">
        <f>I177/100000</f>
        <v>9</v>
      </c>
      <c r="I177" s="14">
        <v>900000</v>
      </c>
      <c r="J177">
        <f ca="1">INT((TODAY()-F177)/30.417)</f>
        <v>21</v>
      </c>
      <c r="K177" s="13">
        <f t="shared" ca="1" si="2"/>
        <v>0</v>
      </c>
      <c r="L177" s="8">
        <f>G177*3.7%</f>
        <v>185000.00000000003</v>
      </c>
      <c r="M177" s="8">
        <f>G177*2%</f>
        <v>100000</v>
      </c>
      <c r="N177" s="8">
        <f>G177*4%</f>
        <v>200000</v>
      </c>
      <c r="O177" s="8">
        <f>G177*1%</f>
        <v>50000</v>
      </c>
      <c r="P177">
        <v>1</v>
      </c>
      <c r="Q177" s="13">
        <f>P177*200000</f>
        <v>200000</v>
      </c>
      <c r="R177" s="8">
        <v>5000000</v>
      </c>
      <c r="S177" s="9">
        <f>8%*G177</f>
        <v>400000</v>
      </c>
    </row>
    <row r="178" spans="1:19" x14ac:dyDescent="0.3">
      <c r="A178">
        <v>176</v>
      </c>
      <c r="B178" s="10" t="s">
        <v>395</v>
      </c>
      <c r="C178" s="10" t="s">
        <v>396</v>
      </c>
      <c r="D178" s="11" t="str">
        <f>VLOOKUP(MID(B178,6,1),'Tabel Acuan'!$A$10:$B$17,2,0)</f>
        <v>Sales</v>
      </c>
      <c r="E178" t="str">
        <f>VLOOKUP(MID(B178,8,2),'Tabel Acuan'!$A$1:$B$6,2,0)</f>
        <v>Staff</v>
      </c>
      <c r="F178" s="12">
        <v>43851</v>
      </c>
      <c r="G178" s="8" cm="1">
        <f t="array" ref="G178">INDEX('Tabel Acuan'!$F$4:$F$39,
MATCH(1,('Tabel Acuan'!$D$4:$D$39='Data Gaji Pegawai'!D178)*('Tabel Acuan'!$E$4:$E$39='Data Gaji Pegawai'!E178),0))</f>
        <v>5000000</v>
      </c>
      <c r="H178">
        <f>I178/100000</f>
        <v>15</v>
      </c>
      <c r="I178" s="14">
        <v>1500000</v>
      </c>
      <c r="J178">
        <f ca="1">INT((TODAY()-F178)/30.417)</f>
        <v>77</v>
      </c>
      <c r="K178" s="13">
        <f t="shared" ca="1" si="2"/>
        <v>0</v>
      </c>
      <c r="L178" s="8">
        <f>G178*3.7%</f>
        <v>185000.00000000003</v>
      </c>
      <c r="M178" s="8">
        <f>G178*2%</f>
        <v>100000</v>
      </c>
      <c r="N178" s="8">
        <f>G178*4%</f>
        <v>200000</v>
      </c>
      <c r="O178" s="8">
        <f>G178*1%</f>
        <v>50000</v>
      </c>
      <c r="P178">
        <v>14</v>
      </c>
      <c r="Q178" s="13">
        <f>P178*200000</f>
        <v>2800000</v>
      </c>
      <c r="R178" s="8">
        <v>2500000</v>
      </c>
      <c r="S178" s="9">
        <f>8%*G178</f>
        <v>400000</v>
      </c>
    </row>
    <row r="179" spans="1:19" x14ac:dyDescent="0.3">
      <c r="A179">
        <v>177</v>
      </c>
      <c r="B179" s="10" t="s">
        <v>397</v>
      </c>
      <c r="C179" s="10" t="s">
        <v>120</v>
      </c>
      <c r="D179" s="11" t="str">
        <f>VLOOKUP(MID(B179,6,1),'Tabel Acuan'!$A$10:$B$17,2,0)</f>
        <v>Marketing</v>
      </c>
      <c r="E179" t="str">
        <f>VLOOKUP(MID(B179,8,2),'Tabel Acuan'!$A$1:$B$6,2,0)</f>
        <v>Staff</v>
      </c>
      <c r="F179" s="12">
        <v>45125</v>
      </c>
      <c r="G179" s="8" cm="1">
        <f t="array" ref="G179">INDEX('Tabel Acuan'!$F$4:$F$39,
MATCH(1,('Tabel Acuan'!$D$4:$D$39='Data Gaji Pegawai'!D179)*('Tabel Acuan'!$E$4:$E$39='Data Gaji Pegawai'!E179),0))</f>
        <v>5300000</v>
      </c>
      <c r="H179">
        <f>I179/100000</f>
        <v>26</v>
      </c>
      <c r="I179" s="14">
        <v>2600000</v>
      </c>
      <c r="J179">
        <f ca="1">INT((TODAY()-F179)/30.417)</f>
        <v>35</v>
      </c>
      <c r="K179" s="13">
        <f t="shared" ca="1" si="2"/>
        <v>0</v>
      </c>
      <c r="L179" s="8">
        <f>G179*3.7%</f>
        <v>196100.00000000003</v>
      </c>
      <c r="M179" s="8">
        <f>G179*2%</f>
        <v>106000</v>
      </c>
      <c r="N179" s="8">
        <f>G179*4%</f>
        <v>212000</v>
      </c>
      <c r="O179" s="8">
        <f>G179*1%</f>
        <v>53000</v>
      </c>
      <c r="P179">
        <v>10</v>
      </c>
      <c r="Q179" s="13">
        <f>P179*200000</f>
        <v>2000000</v>
      </c>
      <c r="R179" s="8">
        <v>250000</v>
      </c>
      <c r="S179" s="9">
        <f>8%*G179</f>
        <v>424000</v>
      </c>
    </row>
    <row r="180" spans="1:19" x14ac:dyDescent="0.3">
      <c r="A180">
        <v>178</v>
      </c>
      <c r="B180" s="10" t="s">
        <v>398</v>
      </c>
      <c r="C180" s="10" t="s">
        <v>273</v>
      </c>
      <c r="D180" s="11" t="str">
        <f>VLOOKUP(MID(B180,6,1),'Tabel Acuan'!$A$10:$B$17,2,0)</f>
        <v>Sales</v>
      </c>
      <c r="E180" t="str">
        <f>VLOOKUP(MID(B180,8,2),'Tabel Acuan'!$A$1:$B$6,2,0)</f>
        <v>Staff</v>
      </c>
      <c r="F180" s="12">
        <v>45943</v>
      </c>
      <c r="G180" s="8" cm="1">
        <f t="array" ref="G180">INDEX('Tabel Acuan'!$F$4:$F$39,
MATCH(1,('Tabel Acuan'!$D$4:$D$39='Data Gaji Pegawai'!D180)*('Tabel Acuan'!$E$4:$E$39='Data Gaji Pegawai'!E180),0))</f>
        <v>5000000</v>
      </c>
      <c r="H180">
        <f>I180/100000</f>
        <v>43</v>
      </c>
      <c r="I180" s="14">
        <v>4300000</v>
      </c>
      <c r="J180">
        <f ca="1">INT((TODAY()-F180)/30.417)</f>
        <v>8</v>
      </c>
      <c r="K180" s="13">
        <f t="shared" ca="1" si="2"/>
        <v>0</v>
      </c>
      <c r="L180" s="8">
        <f>G180*3.7%</f>
        <v>185000.00000000003</v>
      </c>
      <c r="M180" s="8">
        <f>G180*2%</f>
        <v>100000</v>
      </c>
      <c r="N180" s="8">
        <f>G180*4%</f>
        <v>200000</v>
      </c>
      <c r="O180" s="8">
        <f>G180*1%</f>
        <v>50000</v>
      </c>
      <c r="P180">
        <v>12</v>
      </c>
      <c r="Q180" s="13">
        <f>P180*200000</f>
        <v>2400000</v>
      </c>
      <c r="R180" s="8">
        <v>0</v>
      </c>
      <c r="S180" s="9">
        <f>8%*G180</f>
        <v>400000</v>
      </c>
    </row>
    <row r="181" spans="1:19" x14ac:dyDescent="0.3">
      <c r="A181">
        <v>179</v>
      </c>
      <c r="B181" s="10" t="s">
        <v>399</v>
      </c>
      <c r="C181" s="10" t="s">
        <v>400</v>
      </c>
      <c r="D181" s="11" t="str">
        <f>VLOOKUP(MID(B181,6,1),'Tabel Acuan'!$A$10:$B$17,2,0)</f>
        <v>Marketing</v>
      </c>
      <c r="E181" t="str">
        <f>VLOOKUP(MID(B181,8,2),'Tabel Acuan'!$A$1:$B$6,2,0)</f>
        <v>Assistant Manager</v>
      </c>
      <c r="F181" s="12">
        <v>45956</v>
      </c>
      <c r="G181" s="8" cm="1">
        <f t="array" ref="G181">INDEX('Tabel Acuan'!$F$4:$F$39,
MATCH(1,('Tabel Acuan'!$D$4:$D$39='Data Gaji Pegawai'!D181)*('Tabel Acuan'!$E$4:$E$39='Data Gaji Pegawai'!E181),0))</f>
        <v>9800000</v>
      </c>
      <c r="H181">
        <f>I181/100000</f>
        <v>42</v>
      </c>
      <c r="I181" s="14">
        <v>4200000</v>
      </c>
      <c r="J181">
        <f ca="1">INT((TODAY()-F181)/30.417)</f>
        <v>8</v>
      </c>
      <c r="K181" s="13">
        <f t="shared" ca="1" si="2"/>
        <v>0</v>
      </c>
      <c r="L181" s="8">
        <f>G181*3.7%</f>
        <v>362600.00000000006</v>
      </c>
      <c r="M181" s="8">
        <f>G181*2%</f>
        <v>196000</v>
      </c>
      <c r="N181" s="8">
        <f>G181*4%</f>
        <v>392000</v>
      </c>
      <c r="O181" s="8">
        <f>G181*1%</f>
        <v>98000</v>
      </c>
      <c r="P181">
        <v>4</v>
      </c>
      <c r="Q181" s="13">
        <f>P181*200000</f>
        <v>800000</v>
      </c>
      <c r="R181" s="8">
        <v>1000000</v>
      </c>
      <c r="S181" s="9">
        <f>8%*G181</f>
        <v>784000</v>
      </c>
    </row>
    <row r="182" spans="1:19" x14ac:dyDescent="0.3">
      <c r="A182">
        <v>180</v>
      </c>
      <c r="B182" s="10" t="s">
        <v>401</v>
      </c>
      <c r="C182" s="10" t="s">
        <v>402</v>
      </c>
      <c r="D182" s="11" t="str">
        <f>VLOOKUP(MID(B182,6,1),'Tabel Acuan'!$A$10:$B$17,2,0)</f>
        <v>Sales</v>
      </c>
      <c r="E182" t="str">
        <f>VLOOKUP(MID(B182,8,2),'Tabel Acuan'!$A$1:$B$6,2,0)</f>
        <v>Senior Staff</v>
      </c>
      <c r="F182" s="12">
        <v>46020</v>
      </c>
      <c r="G182" s="8" cm="1">
        <f t="array" ref="G182">INDEX('Tabel Acuan'!$F$4:$F$39,
MATCH(1,('Tabel Acuan'!$D$4:$D$39='Data Gaji Pegawai'!D182)*('Tabel Acuan'!$E$4:$E$39='Data Gaji Pegawai'!E182),0))</f>
        <v>6000000</v>
      </c>
      <c r="H182">
        <f>I182/100000</f>
        <v>60</v>
      </c>
      <c r="I182" s="14">
        <v>6000000</v>
      </c>
      <c r="J182">
        <f ca="1">INT((TODAY()-F182)/30.417)</f>
        <v>6</v>
      </c>
      <c r="K182" s="13">
        <f t="shared" ca="1" si="2"/>
        <v>0</v>
      </c>
      <c r="L182" s="8">
        <f>G182*3.7%</f>
        <v>222000.00000000003</v>
      </c>
      <c r="M182" s="8">
        <f>G182*2%</f>
        <v>120000</v>
      </c>
      <c r="N182" s="8">
        <f>G182*4%</f>
        <v>240000</v>
      </c>
      <c r="O182" s="8">
        <f>G182*1%</f>
        <v>60000</v>
      </c>
      <c r="P182">
        <v>2</v>
      </c>
      <c r="Q182" s="13">
        <f>P182*200000</f>
        <v>400000</v>
      </c>
      <c r="R182" s="8">
        <v>0</v>
      </c>
      <c r="S182" s="9">
        <f>8%*G182</f>
        <v>480000</v>
      </c>
    </row>
    <row r="183" spans="1:19" x14ac:dyDescent="0.3">
      <c r="A183">
        <v>181</v>
      </c>
      <c r="B183" s="10" t="s">
        <v>403</v>
      </c>
      <c r="C183" s="10" t="s">
        <v>404</v>
      </c>
      <c r="D183" s="11" t="str">
        <f>VLOOKUP(MID(B183,6,1),'Tabel Acuan'!$A$10:$B$17,2,0)</f>
        <v>Sales</v>
      </c>
      <c r="E183" t="str">
        <f>VLOOKUP(MID(B183,8,2),'Tabel Acuan'!$A$1:$B$6,2,0)</f>
        <v>Supervisor</v>
      </c>
      <c r="F183" s="12">
        <v>44556</v>
      </c>
      <c r="G183" s="8" cm="1">
        <f t="array" ref="G183">INDEX('Tabel Acuan'!$F$4:$F$39,
MATCH(1,('Tabel Acuan'!$D$4:$D$39='Data Gaji Pegawai'!D183)*('Tabel Acuan'!$E$4:$E$39='Data Gaji Pegawai'!E183),0))</f>
        <v>7500000</v>
      </c>
      <c r="H183">
        <f>I183/100000</f>
        <v>53</v>
      </c>
      <c r="I183" s="14">
        <v>5300000</v>
      </c>
      <c r="J183">
        <f ca="1">INT((TODAY()-F183)/30.417)</f>
        <v>54</v>
      </c>
      <c r="K183" s="13">
        <f t="shared" ca="1" si="2"/>
        <v>0</v>
      </c>
      <c r="L183" s="8">
        <f>G183*3.7%</f>
        <v>277500.00000000006</v>
      </c>
      <c r="M183" s="8">
        <f>G183*2%</f>
        <v>150000</v>
      </c>
      <c r="N183" s="8">
        <f>G183*4%</f>
        <v>300000</v>
      </c>
      <c r="O183" s="8">
        <f>G183*1%</f>
        <v>75000</v>
      </c>
      <c r="P183">
        <v>2</v>
      </c>
      <c r="Q183" s="13">
        <f>P183*200000</f>
        <v>400000</v>
      </c>
      <c r="R183" s="8">
        <v>1500000</v>
      </c>
      <c r="S183" s="9">
        <f>8%*G183</f>
        <v>600000</v>
      </c>
    </row>
    <row r="184" spans="1:19" x14ac:dyDescent="0.3">
      <c r="A184">
        <v>182</v>
      </c>
      <c r="B184" s="10" t="s">
        <v>405</v>
      </c>
      <c r="C184" s="10" t="s">
        <v>406</v>
      </c>
      <c r="D184" s="11" t="str">
        <f>VLOOKUP(MID(B184,6,1),'Tabel Acuan'!$A$10:$B$17,2,0)</f>
        <v>Logistics</v>
      </c>
      <c r="E184" t="str">
        <f>VLOOKUP(MID(B184,8,2),'Tabel Acuan'!$A$1:$B$6,2,0)</f>
        <v>Staff</v>
      </c>
      <c r="F184" s="12">
        <v>45036</v>
      </c>
      <c r="G184" s="8" cm="1">
        <f t="array" ref="G184">INDEX('Tabel Acuan'!$F$4:$F$39,
MATCH(1,('Tabel Acuan'!$D$4:$D$39='Data Gaji Pegawai'!D184)*('Tabel Acuan'!$E$4:$E$39='Data Gaji Pegawai'!E184),0))</f>
        <v>5200000</v>
      </c>
      <c r="H184">
        <f>I184/100000</f>
        <v>21</v>
      </c>
      <c r="I184" s="14">
        <v>2100000</v>
      </c>
      <c r="J184">
        <f ca="1">INT((TODAY()-F184)/30.417)</f>
        <v>38</v>
      </c>
      <c r="K184" s="13">
        <f t="shared" ca="1" si="2"/>
        <v>0</v>
      </c>
      <c r="L184" s="8">
        <f>G184*3.7%</f>
        <v>192400.00000000003</v>
      </c>
      <c r="M184" s="8">
        <f>G184*2%</f>
        <v>104000</v>
      </c>
      <c r="N184" s="8">
        <f>G184*4%</f>
        <v>208000</v>
      </c>
      <c r="O184" s="8">
        <f>G184*1%</f>
        <v>52000</v>
      </c>
      <c r="P184">
        <v>15</v>
      </c>
      <c r="Q184" s="13">
        <f>P184*200000</f>
        <v>3000000</v>
      </c>
      <c r="R184" s="8">
        <v>0</v>
      </c>
      <c r="S184" s="9">
        <f>8%*G184</f>
        <v>416000</v>
      </c>
    </row>
    <row r="185" spans="1:19" x14ac:dyDescent="0.3">
      <c r="A185">
        <v>183</v>
      </c>
      <c r="B185" s="10" t="s">
        <v>407</v>
      </c>
      <c r="C185" s="10" t="s">
        <v>408</v>
      </c>
      <c r="D185" s="11" t="str">
        <f>VLOOKUP(MID(B185,6,1),'Tabel Acuan'!$A$10:$B$17,2,0)</f>
        <v>Finance</v>
      </c>
      <c r="E185" t="str">
        <f>VLOOKUP(MID(B185,8,2),'Tabel Acuan'!$A$1:$B$6,2,0)</f>
        <v>Staff</v>
      </c>
      <c r="F185" s="12">
        <v>43012</v>
      </c>
      <c r="G185" s="8" cm="1">
        <f t="array" ref="G185">INDEX('Tabel Acuan'!$F$4:$F$39,
MATCH(1,('Tabel Acuan'!$D$4:$D$39='Data Gaji Pegawai'!D185)*('Tabel Acuan'!$E$4:$E$39='Data Gaji Pegawai'!E185),0))</f>
        <v>5500000</v>
      </c>
      <c r="H185">
        <f>I185/100000</f>
        <v>53</v>
      </c>
      <c r="I185" s="14">
        <v>5300000</v>
      </c>
      <c r="J185">
        <f ca="1">INT((TODAY()-F185)/30.417)</f>
        <v>104</v>
      </c>
      <c r="K185" s="13">
        <f t="shared" ca="1" si="2"/>
        <v>0</v>
      </c>
      <c r="L185" s="8">
        <f>G185*3.7%</f>
        <v>203500.00000000003</v>
      </c>
      <c r="M185" s="8">
        <f>G185*2%</f>
        <v>110000</v>
      </c>
      <c r="N185" s="8">
        <f>G185*4%</f>
        <v>220000</v>
      </c>
      <c r="O185" s="8">
        <f>G185*1%</f>
        <v>55000</v>
      </c>
      <c r="P185">
        <v>1</v>
      </c>
      <c r="Q185" s="13">
        <f>P185*200000</f>
        <v>200000</v>
      </c>
      <c r="R185" s="8">
        <v>5000000</v>
      </c>
      <c r="S185" s="9">
        <f>8%*G185</f>
        <v>440000</v>
      </c>
    </row>
    <row r="186" spans="1:19" x14ac:dyDescent="0.3">
      <c r="A186">
        <v>184</v>
      </c>
      <c r="B186" s="10" t="s">
        <v>409</v>
      </c>
      <c r="C186" s="10" t="s">
        <v>363</v>
      </c>
      <c r="D186" s="11" t="str">
        <f>VLOOKUP(MID(B186,6,1),'Tabel Acuan'!$A$10:$B$17,2,0)</f>
        <v>Finance</v>
      </c>
      <c r="E186" t="str">
        <f>VLOOKUP(MID(B186,8,2),'Tabel Acuan'!$A$1:$B$6,2,0)</f>
        <v>Senior Staff</v>
      </c>
      <c r="F186" s="12">
        <v>45384</v>
      </c>
      <c r="G186" s="8" cm="1">
        <f t="array" ref="G186">INDEX('Tabel Acuan'!$F$4:$F$39,
MATCH(1,('Tabel Acuan'!$D$4:$D$39='Data Gaji Pegawai'!D186)*('Tabel Acuan'!$E$4:$E$39='Data Gaji Pegawai'!E186),0))</f>
        <v>6600000</v>
      </c>
      <c r="H186">
        <f>I186/100000</f>
        <v>53</v>
      </c>
      <c r="I186" s="14">
        <v>5300000</v>
      </c>
      <c r="J186">
        <f ca="1">INT((TODAY()-F186)/30.417)</f>
        <v>26</v>
      </c>
      <c r="K186" s="13">
        <f t="shared" ca="1" si="2"/>
        <v>0</v>
      </c>
      <c r="L186" s="8">
        <f>G186*3.7%</f>
        <v>244200.00000000003</v>
      </c>
      <c r="M186" s="8">
        <f>G186*2%</f>
        <v>132000</v>
      </c>
      <c r="N186" s="8">
        <f>G186*4%</f>
        <v>264000</v>
      </c>
      <c r="O186" s="8">
        <f>G186*1%</f>
        <v>66000</v>
      </c>
      <c r="P186">
        <v>5</v>
      </c>
      <c r="Q186" s="13">
        <f>P186*200000</f>
        <v>1000000</v>
      </c>
      <c r="R186" s="8">
        <v>250000</v>
      </c>
      <c r="S186" s="9">
        <f>8%*G186</f>
        <v>528000</v>
      </c>
    </row>
    <row r="187" spans="1:19" x14ac:dyDescent="0.3">
      <c r="A187">
        <v>185</v>
      </c>
      <c r="B187" s="10" t="s">
        <v>410</v>
      </c>
      <c r="C187" s="10" t="s">
        <v>411</v>
      </c>
      <c r="D187" s="11" t="str">
        <f>VLOOKUP(MID(B187,6,1),'Tabel Acuan'!$A$10:$B$17,2,0)</f>
        <v>Logistics</v>
      </c>
      <c r="E187" t="str">
        <f>VLOOKUP(MID(B187,8,2),'Tabel Acuan'!$A$1:$B$6,2,0)</f>
        <v>Senior Staff</v>
      </c>
      <c r="F187" s="12">
        <v>44509</v>
      </c>
      <c r="G187" s="8" cm="1">
        <f t="array" ref="G187">INDEX('Tabel Acuan'!$F$4:$F$39,
MATCH(1,('Tabel Acuan'!$D$4:$D$39='Data Gaji Pegawai'!D187)*('Tabel Acuan'!$E$4:$E$39='Data Gaji Pegawai'!E187),0))</f>
        <v>6250000</v>
      </c>
      <c r="H187">
        <f>I187/100000</f>
        <v>18</v>
      </c>
      <c r="I187" s="14">
        <v>1800000</v>
      </c>
      <c r="J187">
        <f ca="1">INT((TODAY()-F187)/30.417)</f>
        <v>55</v>
      </c>
      <c r="K187" s="13">
        <f t="shared" ca="1" si="2"/>
        <v>0</v>
      </c>
      <c r="L187" s="8">
        <f>G187*3.7%</f>
        <v>231250.00000000003</v>
      </c>
      <c r="M187" s="8">
        <f>G187*2%</f>
        <v>125000</v>
      </c>
      <c r="N187" s="8">
        <f>G187*4%</f>
        <v>250000</v>
      </c>
      <c r="O187" s="8">
        <f>G187*1%</f>
        <v>62500</v>
      </c>
      <c r="P187">
        <v>14</v>
      </c>
      <c r="Q187" s="13">
        <f>P187*200000</f>
        <v>2800000</v>
      </c>
      <c r="R187" s="8">
        <v>0</v>
      </c>
      <c r="S187" s="9">
        <f>8%*G187</f>
        <v>500000</v>
      </c>
    </row>
    <row r="188" spans="1:19" x14ac:dyDescent="0.3">
      <c r="A188">
        <v>186</v>
      </c>
      <c r="B188" s="10" t="s">
        <v>412</v>
      </c>
      <c r="C188" s="10" t="s">
        <v>413</v>
      </c>
      <c r="D188" s="11" t="str">
        <f>VLOOKUP(MID(B188,6,1),'Tabel Acuan'!$A$10:$B$17,2,0)</f>
        <v>Logistics</v>
      </c>
      <c r="E188" t="str">
        <f>VLOOKUP(MID(B188,8,2),'Tabel Acuan'!$A$1:$B$6,2,0)</f>
        <v>Manager</v>
      </c>
      <c r="F188" s="12">
        <v>43289</v>
      </c>
      <c r="G188" s="8" cm="1">
        <f t="array" ref="G188">INDEX('Tabel Acuan'!$F$4:$F$39,
MATCH(1,('Tabel Acuan'!$D$4:$D$39='Data Gaji Pegawai'!D188)*('Tabel Acuan'!$E$4:$E$39='Data Gaji Pegawai'!E188),0))</f>
        <v>12500000</v>
      </c>
      <c r="H188">
        <f>I188/100000</f>
        <v>43</v>
      </c>
      <c r="I188" s="14">
        <v>4300000</v>
      </c>
      <c r="J188">
        <f ca="1">INT((TODAY()-F188)/30.417)</f>
        <v>95</v>
      </c>
      <c r="K188" s="13">
        <f t="shared" ca="1" si="2"/>
        <v>0</v>
      </c>
      <c r="L188" s="8">
        <f>G188*3.7%</f>
        <v>462500.00000000006</v>
      </c>
      <c r="M188" s="8">
        <f>G188*2%</f>
        <v>250000</v>
      </c>
      <c r="N188" s="8">
        <f>G188*4%</f>
        <v>500000</v>
      </c>
      <c r="O188" s="8">
        <f>G188*1%</f>
        <v>125000</v>
      </c>
      <c r="P188">
        <v>14</v>
      </c>
      <c r="Q188" s="13">
        <f>P188*200000</f>
        <v>2800000</v>
      </c>
      <c r="R188" s="8">
        <v>1000000</v>
      </c>
      <c r="S188" s="9">
        <f>8%*G188</f>
        <v>1000000</v>
      </c>
    </row>
    <row r="189" spans="1:19" x14ac:dyDescent="0.3">
      <c r="A189">
        <v>187</v>
      </c>
      <c r="B189" s="10" t="s">
        <v>414</v>
      </c>
      <c r="C189" s="10" t="s">
        <v>415</v>
      </c>
      <c r="D189" s="11" t="str">
        <f>VLOOKUP(MID(B189,6,1),'Tabel Acuan'!$A$10:$B$17,2,0)</f>
        <v>Marketing</v>
      </c>
      <c r="E189" t="str">
        <f>VLOOKUP(MID(B189,8,2),'Tabel Acuan'!$A$1:$B$6,2,0)</f>
        <v>Senior Staff</v>
      </c>
      <c r="F189" s="12">
        <v>44506</v>
      </c>
      <c r="G189" s="8" cm="1">
        <f t="array" ref="G189">INDEX('Tabel Acuan'!$F$4:$F$39,
MATCH(1,('Tabel Acuan'!$D$4:$D$39='Data Gaji Pegawai'!D189)*('Tabel Acuan'!$E$4:$E$39='Data Gaji Pegawai'!E189),0))</f>
        <v>6400000</v>
      </c>
      <c r="H189">
        <f>I189/100000</f>
        <v>8</v>
      </c>
      <c r="I189" s="14">
        <v>800000</v>
      </c>
      <c r="J189">
        <f ca="1">INT((TODAY()-F189)/30.417)</f>
        <v>55</v>
      </c>
      <c r="K189" s="13">
        <f t="shared" ca="1" si="2"/>
        <v>0</v>
      </c>
      <c r="L189" s="8">
        <f>G189*3.7%</f>
        <v>236800.00000000003</v>
      </c>
      <c r="M189" s="8">
        <f>G189*2%</f>
        <v>128000</v>
      </c>
      <c r="N189" s="8">
        <f>G189*4%</f>
        <v>256000</v>
      </c>
      <c r="O189" s="8">
        <f>G189*1%</f>
        <v>64000</v>
      </c>
      <c r="P189">
        <v>8</v>
      </c>
      <c r="Q189" s="13">
        <f>P189*200000</f>
        <v>1600000</v>
      </c>
      <c r="R189" s="8">
        <v>0</v>
      </c>
      <c r="S189" s="9">
        <f>8%*G189</f>
        <v>512000</v>
      </c>
    </row>
    <row r="190" spans="1:19" x14ac:dyDescent="0.3">
      <c r="A190">
        <v>188</v>
      </c>
      <c r="B190" s="10" t="s">
        <v>416</v>
      </c>
      <c r="C190" s="10" t="s">
        <v>417</v>
      </c>
      <c r="D190" s="11" t="str">
        <f>VLOOKUP(MID(B190,6,1),'Tabel Acuan'!$A$10:$B$17,2,0)</f>
        <v>Operations</v>
      </c>
      <c r="E190" t="str">
        <f>VLOOKUP(MID(B190,8,2),'Tabel Acuan'!$A$1:$B$6,2,0)</f>
        <v>Staff</v>
      </c>
      <c r="F190" s="12">
        <v>44826</v>
      </c>
      <c r="G190" s="8" cm="1">
        <f t="array" ref="G190">INDEX('Tabel Acuan'!$F$4:$F$39,
MATCH(1,('Tabel Acuan'!$D$4:$D$39='Data Gaji Pegawai'!D190)*('Tabel Acuan'!$E$4:$E$39='Data Gaji Pegawai'!E190),0))</f>
        <v>5200000</v>
      </c>
      <c r="H190">
        <f>I190/100000</f>
        <v>54</v>
      </c>
      <c r="I190" s="14">
        <v>5400000</v>
      </c>
      <c r="J190">
        <f ca="1">INT((TODAY()-F190)/30.417)</f>
        <v>45</v>
      </c>
      <c r="K190" s="13">
        <f t="shared" ca="1" si="2"/>
        <v>0</v>
      </c>
      <c r="L190" s="8">
        <f>G190*3.7%</f>
        <v>192400.00000000003</v>
      </c>
      <c r="M190" s="8">
        <f>G190*2%</f>
        <v>104000</v>
      </c>
      <c r="N190" s="8">
        <f>G190*4%</f>
        <v>208000</v>
      </c>
      <c r="O190" s="8">
        <f>G190*1%</f>
        <v>52000</v>
      </c>
      <c r="P190">
        <v>3</v>
      </c>
      <c r="Q190" s="13">
        <f>P190*200000</f>
        <v>600000</v>
      </c>
      <c r="R190" s="8">
        <v>0</v>
      </c>
      <c r="S190" s="9">
        <f>8%*G190</f>
        <v>416000</v>
      </c>
    </row>
    <row r="191" spans="1:19" x14ac:dyDescent="0.3">
      <c r="A191">
        <v>189</v>
      </c>
      <c r="B191" s="10" t="s">
        <v>418</v>
      </c>
      <c r="C191" s="10" t="s">
        <v>419</v>
      </c>
      <c r="D191" s="11" t="str">
        <f>VLOOKUP(MID(B191,6,1),'Tabel Acuan'!$A$10:$B$17,2,0)</f>
        <v>Logistics</v>
      </c>
      <c r="E191" t="str">
        <f>VLOOKUP(MID(B191,8,2),'Tabel Acuan'!$A$1:$B$6,2,0)</f>
        <v>Senior Staff</v>
      </c>
      <c r="F191" s="12">
        <v>42959</v>
      </c>
      <c r="G191" s="8" cm="1">
        <f t="array" ref="G191">INDEX('Tabel Acuan'!$F$4:$F$39,
MATCH(1,('Tabel Acuan'!$D$4:$D$39='Data Gaji Pegawai'!D191)*('Tabel Acuan'!$E$4:$E$39='Data Gaji Pegawai'!E191),0))</f>
        <v>6250000</v>
      </c>
      <c r="H191">
        <f>I191/100000</f>
        <v>5</v>
      </c>
      <c r="I191" s="14">
        <v>500000</v>
      </c>
      <c r="J191">
        <f ca="1">INT((TODAY()-F191)/30.417)</f>
        <v>106</v>
      </c>
      <c r="K191" s="13">
        <f t="shared" ca="1" si="2"/>
        <v>0</v>
      </c>
      <c r="L191" s="8">
        <f>G191*3.7%</f>
        <v>231250.00000000003</v>
      </c>
      <c r="M191" s="8">
        <f>G191*2%</f>
        <v>125000</v>
      </c>
      <c r="N191" s="8">
        <f>G191*4%</f>
        <v>250000</v>
      </c>
      <c r="O191" s="8">
        <f>G191*1%</f>
        <v>62500</v>
      </c>
      <c r="P191">
        <v>7</v>
      </c>
      <c r="Q191" s="13">
        <f>P191*200000</f>
        <v>1400000</v>
      </c>
      <c r="R191" s="8">
        <v>1250000</v>
      </c>
      <c r="S191" s="9">
        <f>8%*G191</f>
        <v>500000</v>
      </c>
    </row>
    <row r="192" spans="1:19" x14ac:dyDescent="0.3">
      <c r="A192">
        <v>190</v>
      </c>
      <c r="B192" s="10" t="s">
        <v>420</v>
      </c>
      <c r="C192" s="10" t="s">
        <v>421</v>
      </c>
      <c r="D192" s="11" t="str">
        <f>VLOOKUP(MID(B192,6,1),'Tabel Acuan'!$A$10:$B$17,2,0)</f>
        <v>Information Technology (IT)</v>
      </c>
      <c r="E192" t="str">
        <f>VLOOKUP(MID(B192,8,2),'Tabel Acuan'!$A$1:$B$6,2,0)</f>
        <v>Staff</v>
      </c>
      <c r="F192" s="12">
        <v>42125</v>
      </c>
      <c r="G192" s="8" cm="1">
        <f t="array" ref="G192">INDEX('Tabel Acuan'!$F$4:$F$39,
MATCH(1,('Tabel Acuan'!$D$4:$D$39='Data Gaji Pegawai'!D192)*('Tabel Acuan'!$E$4:$E$39='Data Gaji Pegawai'!E192),0))</f>
        <v>6000000</v>
      </c>
      <c r="H192">
        <f>I192/100000</f>
        <v>24</v>
      </c>
      <c r="I192" s="14">
        <v>2400000</v>
      </c>
      <c r="J192">
        <f ca="1">INT((TODAY()-F192)/30.417)</f>
        <v>134</v>
      </c>
      <c r="K192" s="13">
        <f t="shared" ca="1" si="2"/>
        <v>0</v>
      </c>
      <c r="L192" s="8">
        <f>G192*3.7%</f>
        <v>222000.00000000003</v>
      </c>
      <c r="M192" s="8">
        <f>G192*2%</f>
        <v>120000</v>
      </c>
      <c r="N192" s="8">
        <f>G192*4%</f>
        <v>240000</v>
      </c>
      <c r="O192" s="8">
        <f>G192*1%</f>
        <v>60000</v>
      </c>
      <c r="P192">
        <v>2</v>
      </c>
      <c r="Q192" s="13">
        <f>P192*200000</f>
        <v>400000</v>
      </c>
      <c r="R192" s="8">
        <v>250000</v>
      </c>
      <c r="S192" s="9">
        <f>8%*G192</f>
        <v>480000</v>
      </c>
    </row>
    <row r="193" spans="1:19" x14ac:dyDescent="0.3">
      <c r="A193">
        <v>191</v>
      </c>
      <c r="B193" s="10" t="s">
        <v>422</v>
      </c>
      <c r="C193" s="10" t="s">
        <v>423</v>
      </c>
      <c r="D193" s="11" t="str">
        <f>VLOOKUP(MID(B193,6,1),'Tabel Acuan'!$A$10:$B$17,2,0)</f>
        <v>Human Resources (HR)</v>
      </c>
      <c r="E193" t="str">
        <f>VLOOKUP(MID(B193,8,2),'Tabel Acuan'!$A$1:$B$6,2,0)</f>
        <v>Supervisor</v>
      </c>
      <c r="F193" s="12">
        <v>43905</v>
      </c>
      <c r="G193" s="8" cm="1">
        <f t="array" ref="G193">INDEX('Tabel Acuan'!$F$4:$F$39,
MATCH(1,('Tabel Acuan'!$D$4:$D$39='Data Gaji Pegawai'!D193)*('Tabel Acuan'!$E$4:$E$39='Data Gaji Pegawai'!E193),0))</f>
        <v>7250000</v>
      </c>
      <c r="H193">
        <f>I193/100000</f>
        <v>8</v>
      </c>
      <c r="I193" s="14">
        <v>800000</v>
      </c>
      <c r="J193">
        <f ca="1">INT((TODAY()-F193)/30.417)</f>
        <v>75</v>
      </c>
      <c r="K193" s="13">
        <f t="shared" ca="1" si="2"/>
        <v>0</v>
      </c>
      <c r="L193" s="8">
        <f>G193*3.7%</f>
        <v>268250.00000000006</v>
      </c>
      <c r="M193" s="8">
        <f>G193*2%</f>
        <v>145000</v>
      </c>
      <c r="N193" s="8">
        <f>G193*4%</f>
        <v>290000</v>
      </c>
      <c r="O193" s="8">
        <f>G193*1%</f>
        <v>72500</v>
      </c>
      <c r="P193">
        <v>1</v>
      </c>
      <c r="Q193" s="13">
        <f>P193*200000</f>
        <v>200000</v>
      </c>
      <c r="R193" s="8">
        <v>0</v>
      </c>
      <c r="S193" s="9">
        <f>8%*G193</f>
        <v>580000</v>
      </c>
    </row>
    <row r="194" spans="1:19" x14ac:dyDescent="0.3">
      <c r="A194">
        <v>192</v>
      </c>
      <c r="B194" s="10" t="s">
        <v>424</v>
      </c>
      <c r="C194" s="10" t="s">
        <v>425</v>
      </c>
      <c r="D194" s="11" t="str">
        <f>VLOOKUP(MID(B194,6,1),'Tabel Acuan'!$A$10:$B$17,2,0)</f>
        <v>Sales</v>
      </c>
      <c r="E194" t="str">
        <f>VLOOKUP(MID(B194,8,2),'Tabel Acuan'!$A$1:$B$6,2,0)</f>
        <v>Supervisor</v>
      </c>
      <c r="F194" s="12">
        <v>44802</v>
      </c>
      <c r="G194" s="8" cm="1">
        <f t="array" ref="G194">INDEX('Tabel Acuan'!$F$4:$F$39,
MATCH(1,('Tabel Acuan'!$D$4:$D$39='Data Gaji Pegawai'!D194)*('Tabel Acuan'!$E$4:$E$39='Data Gaji Pegawai'!E194),0))</f>
        <v>7500000</v>
      </c>
      <c r="H194">
        <f>I194/100000</f>
        <v>28</v>
      </c>
      <c r="I194" s="14">
        <v>2800000</v>
      </c>
      <c r="J194">
        <f ca="1">INT((TODAY()-F194)/30.417)</f>
        <v>46</v>
      </c>
      <c r="K194" s="13">
        <f t="shared" ca="1" si="2"/>
        <v>0</v>
      </c>
      <c r="L194" s="8">
        <f>G194*3.7%</f>
        <v>277500.00000000006</v>
      </c>
      <c r="M194" s="8">
        <f>G194*2%</f>
        <v>150000</v>
      </c>
      <c r="N194" s="8">
        <f>G194*4%</f>
        <v>300000</v>
      </c>
      <c r="O194" s="8">
        <f>G194*1%</f>
        <v>75000</v>
      </c>
      <c r="P194">
        <v>0</v>
      </c>
      <c r="Q194" s="13">
        <f>P194*200000</f>
        <v>0</v>
      </c>
      <c r="R194" s="8">
        <v>250000</v>
      </c>
      <c r="S194" s="9">
        <f>8%*G194</f>
        <v>600000</v>
      </c>
    </row>
    <row r="195" spans="1:19" x14ac:dyDescent="0.3">
      <c r="A195">
        <v>193</v>
      </c>
      <c r="B195" s="10" t="s">
        <v>426</v>
      </c>
      <c r="C195" s="10" t="s">
        <v>427</v>
      </c>
      <c r="D195" s="11" t="str">
        <f>VLOOKUP(MID(B195,6,1),'Tabel Acuan'!$A$10:$B$17,2,0)</f>
        <v>Finance</v>
      </c>
      <c r="E195" t="str">
        <f>VLOOKUP(MID(B195,8,2),'Tabel Acuan'!$A$1:$B$6,2,0)</f>
        <v>Supervisor</v>
      </c>
      <c r="F195" s="12">
        <v>43777</v>
      </c>
      <c r="G195" s="8" cm="1">
        <f t="array" ref="G195">INDEX('Tabel Acuan'!$F$4:$F$39,
MATCH(1,('Tabel Acuan'!$D$4:$D$39='Data Gaji Pegawai'!D195)*('Tabel Acuan'!$E$4:$E$39='Data Gaji Pegawai'!E195),0))</f>
        <v>8000000</v>
      </c>
      <c r="H195">
        <f>I195/100000</f>
        <v>33</v>
      </c>
      <c r="I195" s="14">
        <v>3300000</v>
      </c>
      <c r="J195">
        <f ca="1">INT((TODAY()-F195)/30.417)</f>
        <v>79</v>
      </c>
      <c r="K195" s="13">
        <f t="shared" ca="1" si="2"/>
        <v>0</v>
      </c>
      <c r="L195" s="8">
        <f>G195*3.7%</f>
        <v>296000.00000000006</v>
      </c>
      <c r="M195" s="8">
        <f>G195*2%</f>
        <v>160000</v>
      </c>
      <c r="N195" s="8">
        <f>G195*4%</f>
        <v>320000</v>
      </c>
      <c r="O195" s="8">
        <f>G195*1%</f>
        <v>80000</v>
      </c>
      <c r="P195">
        <v>13</v>
      </c>
      <c r="Q195" s="13">
        <f>P195*200000</f>
        <v>2600000</v>
      </c>
      <c r="R195" s="8">
        <v>0</v>
      </c>
      <c r="S195" s="9">
        <f>8%*G195</f>
        <v>640000</v>
      </c>
    </row>
    <row r="196" spans="1:19" x14ac:dyDescent="0.3">
      <c r="A196">
        <v>194</v>
      </c>
      <c r="B196" s="10" t="s">
        <v>428</v>
      </c>
      <c r="C196" s="10" t="s">
        <v>429</v>
      </c>
      <c r="D196" s="11" t="str">
        <f>VLOOKUP(MID(B196,6,1),'Tabel Acuan'!$A$10:$B$17,2,0)</f>
        <v>Finance</v>
      </c>
      <c r="E196" t="str">
        <f>VLOOKUP(MID(B196,8,2),'Tabel Acuan'!$A$1:$B$6,2,0)</f>
        <v>Staff</v>
      </c>
      <c r="F196" s="12">
        <v>43680</v>
      </c>
      <c r="G196" s="8" cm="1">
        <f t="array" ref="G196">INDEX('Tabel Acuan'!$F$4:$F$39,
MATCH(1,('Tabel Acuan'!$D$4:$D$39='Data Gaji Pegawai'!D196)*('Tabel Acuan'!$E$4:$E$39='Data Gaji Pegawai'!E196),0))</f>
        <v>5500000</v>
      </c>
      <c r="H196">
        <f>I196/100000</f>
        <v>40</v>
      </c>
      <c r="I196" s="14">
        <v>4000000</v>
      </c>
      <c r="J196">
        <f ca="1">INT((TODAY()-F196)/30.417)</f>
        <v>83</v>
      </c>
      <c r="K196" s="13">
        <f t="shared" ref="K196:K259" ca="1" si="3">IF(MONTH(TODAY())=12, IF(J196&gt;=12,G196,G196*(J196/12)), 0)</f>
        <v>0</v>
      </c>
      <c r="L196" s="8">
        <f>G196*3.7%</f>
        <v>203500.00000000003</v>
      </c>
      <c r="M196" s="8">
        <f>G196*2%</f>
        <v>110000</v>
      </c>
      <c r="N196" s="8">
        <f>G196*4%</f>
        <v>220000</v>
      </c>
      <c r="O196" s="8">
        <f>G196*1%</f>
        <v>55000</v>
      </c>
      <c r="P196">
        <v>14</v>
      </c>
      <c r="Q196" s="13">
        <f>P196*200000</f>
        <v>2800000</v>
      </c>
      <c r="R196" s="8">
        <v>0</v>
      </c>
      <c r="S196" s="9">
        <f>8%*G196</f>
        <v>440000</v>
      </c>
    </row>
    <row r="197" spans="1:19" x14ac:dyDescent="0.3">
      <c r="A197">
        <v>195</v>
      </c>
      <c r="B197" s="10" t="s">
        <v>430</v>
      </c>
      <c r="C197" s="10" t="s">
        <v>431</v>
      </c>
      <c r="D197" s="11" t="str">
        <f>VLOOKUP(MID(B197,6,1),'Tabel Acuan'!$A$10:$B$17,2,0)</f>
        <v>Marketing</v>
      </c>
      <c r="E197" t="str">
        <f>VLOOKUP(MID(B197,8,2),'Tabel Acuan'!$A$1:$B$6,2,0)</f>
        <v>Senior Staff</v>
      </c>
      <c r="F197" s="12">
        <v>44856</v>
      </c>
      <c r="G197" s="8" cm="1">
        <f t="array" ref="G197">INDEX('Tabel Acuan'!$F$4:$F$39,
MATCH(1,('Tabel Acuan'!$D$4:$D$39='Data Gaji Pegawai'!D197)*('Tabel Acuan'!$E$4:$E$39='Data Gaji Pegawai'!E197),0))</f>
        <v>6400000</v>
      </c>
      <c r="H197">
        <f>I197/100000</f>
        <v>15</v>
      </c>
      <c r="I197" s="14">
        <v>1500000</v>
      </c>
      <c r="J197">
        <f ca="1">INT((TODAY()-F197)/30.417)</f>
        <v>44</v>
      </c>
      <c r="K197" s="13">
        <f t="shared" ca="1" si="3"/>
        <v>0</v>
      </c>
      <c r="L197" s="8">
        <f>G197*3.7%</f>
        <v>236800.00000000003</v>
      </c>
      <c r="M197" s="8">
        <f>G197*2%</f>
        <v>128000</v>
      </c>
      <c r="N197" s="8">
        <f>G197*4%</f>
        <v>256000</v>
      </c>
      <c r="O197" s="8">
        <f>G197*1%</f>
        <v>64000</v>
      </c>
      <c r="P197">
        <v>4</v>
      </c>
      <c r="Q197" s="13">
        <f>P197*200000</f>
        <v>800000</v>
      </c>
      <c r="R197" s="8">
        <v>0</v>
      </c>
      <c r="S197" s="9">
        <f>8%*G197</f>
        <v>512000</v>
      </c>
    </row>
    <row r="198" spans="1:19" x14ac:dyDescent="0.3">
      <c r="A198">
        <v>196</v>
      </c>
      <c r="B198" s="10" t="s">
        <v>432</v>
      </c>
      <c r="C198" s="10" t="s">
        <v>433</v>
      </c>
      <c r="D198" s="11" t="str">
        <f>VLOOKUP(MID(B198,6,1),'Tabel Acuan'!$A$10:$B$17,2,0)</f>
        <v>Marketing</v>
      </c>
      <c r="E198" t="str">
        <f>VLOOKUP(MID(B198,8,2),'Tabel Acuan'!$A$1:$B$6,2,0)</f>
        <v>Staff</v>
      </c>
      <c r="F198" s="12">
        <v>42100</v>
      </c>
      <c r="G198" s="8" cm="1">
        <f t="array" ref="G198">INDEX('Tabel Acuan'!$F$4:$F$39,
MATCH(1,('Tabel Acuan'!$D$4:$D$39='Data Gaji Pegawai'!D198)*('Tabel Acuan'!$E$4:$E$39='Data Gaji Pegawai'!E198),0))</f>
        <v>5300000</v>
      </c>
      <c r="H198">
        <f>I198/100000</f>
        <v>42</v>
      </c>
      <c r="I198" s="14">
        <v>4200000</v>
      </c>
      <c r="J198">
        <f ca="1">INT((TODAY()-F198)/30.417)</f>
        <v>134</v>
      </c>
      <c r="K198" s="13">
        <f t="shared" ca="1" si="3"/>
        <v>0</v>
      </c>
      <c r="L198" s="8">
        <f>G198*3.7%</f>
        <v>196100.00000000003</v>
      </c>
      <c r="M198" s="8">
        <f>G198*2%</f>
        <v>106000</v>
      </c>
      <c r="N198" s="8">
        <f>G198*4%</f>
        <v>212000</v>
      </c>
      <c r="O198" s="8">
        <f>G198*1%</f>
        <v>53000</v>
      </c>
      <c r="P198">
        <v>2</v>
      </c>
      <c r="Q198" s="13">
        <f>P198*200000</f>
        <v>400000</v>
      </c>
      <c r="R198" s="8">
        <v>1250000</v>
      </c>
      <c r="S198" s="9">
        <f>8%*G198</f>
        <v>424000</v>
      </c>
    </row>
    <row r="199" spans="1:19" x14ac:dyDescent="0.3">
      <c r="A199">
        <v>197</v>
      </c>
      <c r="B199" s="10" t="s">
        <v>434</v>
      </c>
      <c r="C199" s="10" t="s">
        <v>435</v>
      </c>
      <c r="D199" s="11" t="str">
        <f>VLOOKUP(MID(B199,6,1),'Tabel Acuan'!$A$10:$B$17,2,0)</f>
        <v>Marketing</v>
      </c>
      <c r="E199" t="str">
        <f>VLOOKUP(MID(B199,8,2),'Tabel Acuan'!$A$1:$B$6,2,0)</f>
        <v>Senior Staff</v>
      </c>
      <c r="F199" s="12">
        <v>42380</v>
      </c>
      <c r="G199" s="8" cm="1">
        <f t="array" ref="G199">INDEX('Tabel Acuan'!$F$4:$F$39,
MATCH(1,('Tabel Acuan'!$D$4:$D$39='Data Gaji Pegawai'!D199)*('Tabel Acuan'!$E$4:$E$39='Data Gaji Pegawai'!E199),0))</f>
        <v>6400000</v>
      </c>
      <c r="H199">
        <f>I199/100000</f>
        <v>24</v>
      </c>
      <c r="I199" s="14">
        <v>2400000</v>
      </c>
      <c r="J199">
        <f ca="1">INT((TODAY()-F199)/30.417)</f>
        <v>125</v>
      </c>
      <c r="K199" s="13">
        <f t="shared" ca="1" si="3"/>
        <v>0</v>
      </c>
      <c r="L199" s="8">
        <f>G199*3.7%</f>
        <v>236800.00000000003</v>
      </c>
      <c r="M199" s="8">
        <f>G199*2%</f>
        <v>128000</v>
      </c>
      <c r="N199" s="8">
        <f>G199*4%</f>
        <v>256000</v>
      </c>
      <c r="O199" s="8">
        <f>G199*1%</f>
        <v>64000</v>
      </c>
      <c r="P199">
        <v>15</v>
      </c>
      <c r="Q199" s="13">
        <f>P199*200000</f>
        <v>3000000</v>
      </c>
      <c r="R199" s="8">
        <v>0</v>
      </c>
      <c r="S199" s="9">
        <f>8%*G199</f>
        <v>512000</v>
      </c>
    </row>
    <row r="200" spans="1:19" x14ac:dyDescent="0.3">
      <c r="A200">
        <v>198</v>
      </c>
      <c r="B200" s="10" t="s">
        <v>436</v>
      </c>
      <c r="C200" s="10" t="s">
        <v>437</v>
      </c>
      <c r="D200" s="11" t="str">
        <f>VLOOKUP(MID(B200,6,1),'Tabel Acuan'!$A$10:$B$17,2,0)</f>
        <v>Logistics</v>
      </c>
      <c r="E200" t="str">
        <f>VLOOKUP(MID(B200,8,2),'Tabel Acuan'!$A$1:$B$6,2,0)</f>
        <v>Staff</v>
      </c>
      <c r="F200" s="12">
        <v>44231</v>
      </c>
      <c r="G200" s="8" cm="1">
        <f t="array" ref="G200">INDEX('Tabel Acuan'!$F$4:$F$39,
MATCH(1,('Tabel Acuan'!$D$4:$D$39='Data Gaji Pegawai'!D200)*('Tabel Acuan'!$E$4:$E$39='Data Gaji Pegawai'!E200),0))</f>
        <v>5200000</v>
      </c>
      <c r="H200">
        <f>I200/100000</f>
        <v>22</v>
      </c>
      <c r="I200" s="14">
        <v>2200000</v>
      </c>
      <c r="J200">
        <f ca="1">INT((TODAY()-F200)/30.417)</f>
        <v>64</v>
      </c>
      <c r="K200" s="13">
        <f t="shared" ca="1" si="3"/>
        <v>0</v>
      </c>
      <c r="L200" s="8">
        <f>G200*3.7%</f>
        <v>192400.00000000003</v>
      </c>
      <c r="M200" s="8">
        <f>G200*2%</f>
        <v>104000</v>
      </c>
      <c r="N200" s="8">
        <f>G200*4%</f>
        <v>208000</v>
      </c>
      <c r="O200" s="8">
        <f>G200*1%</f>
        <v>52000</v>
      </c>
      <c r="P200">
        <v>7</v>
      </c>
      <c r="Q200" s="13">
        <f>P200*200000</f>
        <v>1400000</v>
      </c>
      <c r="R200" s="8">
        <v>3500000</v>
      </c>
      <c r="S200" s="9">
        <f>8%*G200</f>
        <v>416000</v>
      </c>
    </row>
    <row r="201" spans="1:19" x14ac:dyDescent="0.3">
      <c r="A201">
        <v>199</v>
      </c>
      <c r="B201" s="10" t="s">
        <v>438</v>
      </c>
      <c r="C201" s="10" t="s">
        <v>439</v>
      </c>
      <c r="D201" s="11" t="str">
        <f>VLOOKUP(MID(B201,6,1),'Tabel Acuan'!$A$10:$B$17,2,0)</f>
        <v>Operations</v>
      </c>
      <c r="E201" t="str">
        <f>VLOOKUP(MID(B201,8,2),'Tabel Acuan'!$A$1:$B$6,2,0)</f>
        <v>Senior Staff</v>
      </c>
      <c r="F201" s="12">
        <v>42438</v>
      </c>
      <c r="G201" s="8" cm="1">
        <f t="array" ref="G201">INDEX('Tabel Acuan'!$F$4:$F$39,
MATCH(1,('Tabel Acuan'!$D$4:$D$39='Data Gaji Pegawai'!D201)*('Tabel Acuan'!$E$4:$E$39='Data Gaji Pegawai'!E201),0))</f>
        <v>6300000</v>
      </c>
      <c r="H201">
        <f>I201/100000</f>
        <v>2</v>
      </c>
      <c r="I201" s="14">
        <v>200000</v>
      </c>
      <c r="J201">
        <f ca="1">INT((TODAY()-F201)/30.417)</f>
        <v>123</v>
      </c>
      <c r="K201" s="13">
        <f t="shared" ca="1" si="3"/>
        <v>0</v>
      </c>
      <c r="L201" s="8">
        <f>G201*3.7%</f>
        <v>233100.00000000003</v>
      </c>
      <c r="M201" s="8">
        <f>G201*2%</f>
        <v>126000</v>
      </c>
      <c r="N201" s="8">
        <f>G201*4%</f>
        <v>252000</v>
      </c>
      <c r="O201" s="8">
        <f>G201*1%</f>
        <v>63000</v>
      </c>
      <c r="P201">
        <v>11</v>
      </c>
      <c r="Q201" s="13">
        <f>P201*200000</f>
        <v>2200000</v>
      </c>
      <c r="R201" s="8">
        <v>3500000</v>
      </c>
      <c r="S201" s="9">
        <f>8%*G201</f>
        <v>504000</v>
      </c>
    </row>
    <row r="202" spans="1:19" x14ac:dyDescent="0.3">
      <c r="A202">
        <v>200</v>
      </c>
      <c r="B202" s="10" t="s">
        <v>440</v>
      </c>
      <c r="C202" s="10" t="s">
        <v>441</v>
      </c>
      <c r="D202" s="11" t="str">
        <f>VLOOKUP(MID(B202,6,1),'Tabel Acuan'!$A$10:$B$17,2,0)</f>
        <v>Operations</v>
      </c>
      <c r="E202" t="str">
        <f>VLOOKUP(MID(B202,8,2),'Tabel Acuan'!$A$1:$B$6,2,0)</f>
        <v>Supervisor</v>
      </c>
      <c r="F202" s="12">
        <v>42981</v>
      </c>
      <c r="G202" s="8" cm="1">
        <f t="array" ref="G202">INDEX('Tabel Acuan'!$F$4:$F$39,
MATCH(1,('Tabel Acuan'!$D$4:$D$39='Data Gaji Pegawai'!D202)*('Tabel Acuan'!$E$4:$E$39='Data Gaji Pegawai'!E202),0))</f>
        <v>7700000</v>
      </c>
      <c r="H202">
        <f>I202/100000</f>
        <v>40</v>
      </c>
      <c r="I202" s="14">
        <v>4000000</v>
      </c>
      <c r="J202">
        <f ca="1">INT((TODAY()-F202)/30.417)</f>
        <v>105</v>
      </c>
      <c r="K202" s="13">
        <f t="shared" ca="1" si="3"/>
        <v>0</v>
      </c>
      <c r="L202" s="8">
        <f>G202*3.7%</f>
        <v>284900.00000000006</v>
      </c>
      <c r="M202" s="8">
        <f>G202*2%</f>
        <v>154000</v>
      </c>
      <c r="N202" s="8">
        <f>G202*4%</f>
        <v>308000</v>
      </c>
      <c r="O202" s="8">
        <f>G202*1%</f>
        <v>77000</v>
      </c>
      <c r="P202">
        <v>5</v>
      </c>
      <c r="Q202" s="13">
        <f>P202*200000</f>
        <v>1000000</v>
      </c>
      <c r="R202" s="8">
        <v>300000</v>
      </c>
      <c r="S202" s="9">
        <f>8%*G202</f>
        <v>616000</v>
      </c>
    </row>
    <row r="203" spans="1:19" x14ac:dyDescent="0.3">
      <c r="A203">
        <v>201</v>
      </c>
      <c r="B203" s="10" t="s">
        <v>442</v>
      </c>
      <c r="C203" s="10" t="s">
        <v>443</v>
      </c>
      <c r="D203" s="11" t="str">
        <f>VLOOKUP(MID(B203,6,1),'Tabel Acuan'!$A$10:$B$17,2,0)</f>
        <v>Human Resources (HR)</v>
      </c>
      <c r="E203" t="str">
        <f>VLOOKUP(MID(B203,8,2),'Tabel Acuan'!$A$1:$B$6,2,0)</f>
        <v>Staff</v>
      </c>
      <c r="F203" s="12">
        <v>44583</v>
      </c>
      <c r="G203" s="8" cm="1">
        <f t="array" ref="G203">INDEX('Tabel Acuan'!$F$4:$F$39,
MATCH(1,('Tabel Acuan'!$D$4:$D$39='Data Gaji Pegawai'!D203)*('Tabel Acuan'!$E$4:$E$39='Data Gaji Pegawai'!E203),0))</f>
        <v>5000000</v>
      </c>
      <c r="H203">
        <f>I203/100000</f>
        <v>20</v>
      </c>
      <c r="I203" s="14">
        <v>2000000</v>
      </c>
      <c r="J203">
        <f ca="1">INT((TODAY()-F203)/30.417)</f>
        <v>53</v>
      </c>
      <c r="K203" s="13">
        <f t="shared" ca="1" si="3"/>
        <v>0</v>
      </c>
      <c r="L203" s="8">
        <f>G203*3.7%</f>
        <v>185000.00000000003</v>
      </c>
      <c r="M203" s="8">
        <f>G203*2%</f>
        <v>100000</v>
      </c>
      <c r="N203" s="8">
        <f>G203*4%</f>
        <v>200000</v>
      </c>
      <c r="O203" s="8">
        <f>G203*1%</f>
        <v>50000</v>
      </c>
      <c r="P203">
        <v>9</v>
      </c>
      <c r="Q203" s="13">
        <f>P203*200000</f>
        <v>1800000</v>
      </c>
      <c r="R203" s="8">
        <v>2500000</v>
      </c>
      <c r="S203" s="9">
        <f>8%*G203</f>
        <v>400000</v>
      </c>
    </row>
    <row r="204" spans="1:19" x14ac:dyDescent="0.3">
      <c r="A204">
        <v>202</v>
      </c>
      <c r="B204" s="10" t="s">
        <v>444</v>
      </c>
      <c r="C204" s="10" t="s">
        <v>445</v>
      </c>
      <c r="D204" s="11" t="str">
        <f>VLOOKUP(MID(B204,6,1),'Tabel Acuan'!$A$10:$B$17,2,0)</f>
        <v>Logistics</v>
      </c>
      <c r="E204" t="str">
        <f>VLOOKUP(MID(B204,8,2),'Tabel Acuan'!$A$1:$B$6,2,0)</f>
        <v>Staff</v>
      </c>
      <c r="F204" s="12">
        <v>44708</v>
      </c>
      <c r="G204" s="8" cm="1">
        <f t="array" ref="G204">INDEX('Tabel Acuan'!$F$4:$F$39,
MATCH(1,('Tabel Acuan'!$D$4:$D$39='Data Gaji Pegawai'!D204)*('Tabel Acuan'!$E$4:$E$39='Data Gaji Pegawai'!E204),0))</f>
        <v>5200000</v>
      </c>
      <c r="H204">
        <f>I204/100000</f>
        <v>22</v>
      </c>
      <c r="I204" s="14">
        <v>2200000</v>
      </c>
      <c r="J204">
        <f ca="1">INT((TODAY()-F204)/30.417)</f>
        <v>49</v>
      </c>
      <c r="K204" s="13">
        <f t="shared" ca="1" si="3"/>
        <v>0</v>
      </c>
      <c r="L204" s="8">
        <f>G204*3.7%</f>
        <v>192400.00000000003</v>
      </c>
      <c r="M204" s="8">
        <f>G204*2%</f>
        <v>104000</v>
      </c>
      <c r="N204" s="8">
        <f>G204*4%</f>
        <v>208000</v>
      </c>
      <c r="O204" s="8">
        <f>G204*1%</f>
        <v>52000</v>
      </c>
      <c r="P204">
        <v>1</v>
      </c>
      <c r="Q204" s="13">
        <f>P204*200000</f>
        <v>200000</v>
      </c>
      <c r="R204" s="8">
        <v>1250000</v>
      </c>
      <c r="S204" s="9">
        <f>8%*G204</f>
        <v>416000</v>
      </c>
    </row>
    <row r="205" spans="1:19" x14ac:dyDescent="0.3">
      <c r="A205">
        <v>203</v>
      </c>
      <c r="B205" s="10" t="s">
        <v>446</v>
      </c>
      <c r="C205" s="10" t="s">
        <v>447</v>
      </c>
      <c r="D205" s="11" t="str">
        <f>VLOOKUP(MID(B205,6,1),'Tabel Acuan'!$A$10:$B$17,2,0)</f>
        <v>Human Resources (HR)</v>
      </c>
      <c r="E205" t="str">
        <f>VLOOKUP(MID(B205,8,2),'Tabel Acuan'!$A$1:$B$6,2,0)</f>
        <v>Supervisor</v>
      </c>
      <c r="F205" s="12">
        <v>43691</v>
      </c>
      <c r="G205" s="8" cm="1">
        <f t="array" ref="G205">INDEX('Tabel Acuan'!$F$4:$F$39,
MATCH(1,('Tabel Acuan'!$D$4:$D$39='Data Gaji Pegawai'!D205)*('Tabel Acuan'!$E$4:$E$39='Data Gaji Pegawai'!E205),0))</f>
        <v>7250000</v>
      </c>
      <c r="H205">
        <f>I205/100000</f>
        <v>57</v>
      </c>
      <c r="I205" s="14">
        <v>5700000</v>
      </c>
      <c r="J205">
        <f ca="1">INT((TODAY()-F205)/30.417)</f>
        <v>82</v>
      </c>
      <c r="K205" s="13">
        <f t="shared" ca="1" si="3"/>
        <v>0</v>
      </c>
      <c r="L205" s="8">
        <f>G205*3.7%</f>
        <v>268250.00000000006</v>
      </c>
      <c r="M205" s="8">
        <f>G205*2%</f>
        <v>145000</v>
      </c>
      <c r="N205" s="8">
        <f>G205*4%</f>
        <v>290000</v>
      </c>
      <c r="O205" s="8">
        <f>G205*1%</f>
        <v>72500</v>
      </c>
      <c r="P205">
        <v>12</v>
      </c>
      <c r="Q205" s="13">
        <f>P205*200000</f>
        <v>2400000</v>
      </c>
      <c r="R205" s="8">
        <v>0</v>
      </c>
      <c r="S205" s="9">
        <f>8%*G205</f>
        <v>580000</v>
      </c>
    </row>
    <row r="206" spans="1:19" x14ac:dyDescent="0.3">
      <c r="A206">
        <v>204</v>
      </c>
      <c r="B206" s="10" t="s">
        <v>448</v>
      </c>
      <c r="C206" s="10" t="s">
        <v>449</v>
      </c>
      <c r="D206" s="11" t="str">
        <f>VLOOKUP(MID(B206,6,1),'Tabel Acuan'!$A$10:$B$17,2,0)</f>
        <v>Information Technology (IT)</v>
      </c>
      <c r="E206" t="str">
        <f>VLOOKUP(MID(B206,8,2),'Tabel Acuan'!$A$1:$B$6,2,0)</f>
        <v>Supervisor</v>
      </c>
      <c r="F206" s="12">
        <v>42872</v>
      </c>
      <c r="G206" s="8" cm="1">
        <f t="array" ref="G206">INDEX('Tabel Acuan'!$F$4:$F$39,
MATCH(1,('Tabel Acuan'!$D$4:$D$39='Data Gaji Pegawai'!D206)*('Tabel Acuan'!$E$4:$E$39='Data Gaji Pegawai'!E206),0))</f>
        <v>9000000</v>
      </c>
      <c r="H206">
        <f>I206/100000</f>
        <v>51</v>
      </c>
      <c r="I206" s="14">
        <v>5100000</v>
      </c>
      <c r="J206">
        <f ca="1">INT((TODAY()-F206)/30.417)</f>
        <v>109</v>
      </c>
      <c r="K206" s="13">
        <f t="shared" ca="1" si="3"/>
        <v>0</v>
      </c>
      <c r="L206" s="8">
        <f>G206*3.7%</f>
        <v>333000.00000000006</v>
      </c>
      <c r="M206" s="8">
        <f>G206*2%</f>
        <v>180000</v>
      </c>
      <c r="N206" s="8">
        <f>G206*4%</f>
        <v>360000</v>
      </c>
      <c r="O206" s="8">
        <f>G206*1%</f>
        <v>90000</v>
      </c>
      <c r="P206">
        <v>2</v>
      </c>
      <c r="Q206" s="13">
        <f>P206*200000</f>
        <v>400000</v>
      </c>
      <c r="R206" s="8">
        <v>300000</v>
      </c>
      <c r="S206" s="9">
        <f>8%*G206</f>
        <v>720000</v>
      </c>
    </row>
    <row r="207" spans="1:19" x14ac:dyDescent="0.3">
      <c r="A207">
        <v>205</v>
      </c>
      <c r="B207" s="10" t="s">
        <v>450</v>
      </c>
      <c r="C207" s="10" t="s">
        <v>451</v>
      </c>
      <c r="D207" s="11" t="str">
        <f>VLOOKUP(MID(B207,6,1),'Tabel Acuan'!$A$10:$B$17,2,0)</f>
        <v>Marketing</v>
      </c>
      <c r="E207" t="str">
        <f>VLOOKUP(MID(B207,8,2),'Tabel Acuan'!$A$1:$B$6,2,0)</f>
        <v>Manager</v>
      </c>
      <c r="F207" s="12">
        <v>44347</v>
      </c>
      <c r="G207" s="8" cm="1">
        <f t="array" ref="G207">INDEX('Tabel Acuan'!$F$4:$F$39,
MATCH(1,('Tabel Acuan'!$D$4:$D$39='Data Gaji Pegawai'!D207)*('Tabel Acuan'!$E$4:$E$39='Data Gaji Pegawai'!E207),0))</f>
        <v>13000000</v>
      </c>
      <c r="H207">
        <f>I207/100000</f>
        <v>20</v>
      </c>
      <c r="I207" s="14">
        <v>2000000</v>
      </c>
      <c r="J207">
        <f ca="1">INT((TODAY()-F207)/30.417)</f>
        <v>61</v>
      </c>
      <c r="K207" s="13">
        <f t="shared" ca="1" si="3"/>
        <v>0</v>
      </c>
      <c r="L207" s="8">
        <f>G207*3.7%</f>
        <v>481000.00000000006</v>
      </c>
      <c r="M207" s="8">
        <f>G207*2%</f>
        <v>260000</v>
      </c>
      <c r="N207" s="8">
        <f>G207*4%</f>
        <v>520000</v>
      </c>
      <c r="O207" s="8">
        <f>G207*1%</f>
        <v>130000</v>
      </c>
      <c r="P207">
        <v>3</v>
      </c>
      <c r="Q207" s="13">
        <f>P207*200000</f>
        <v>600000</v>
      </c>
      <c r="R207" s="8">
        <v>0</v>
      </c>
      <c r="S207" s="9">
        <f>8%*G207</f>
        <v>1040000</v>
      </c>
    </row>
    <row r="208" spans="1:19" x14ac:dyDescent="0.3">
      <c r="A208">
        <v>206</v>
      </c>
      <c r="B208" s="10" t="s">
        <v>452</v>
      </c>
      <c r="C208" s="10" t="s">
        <v>453</v>
      </c>
      <c r="D208" s="11" t="str">
        <f>VLOOKUP(MID(B208,6,1),'Tabel Acuan'!$A$10:$B$17,2,0)</f>
        <v>Logistics</v>
      </c>
      <c r="E208" t="str">
        <f>VLOOKUP(MID(B208,8,2),'Tabel Acuan'!$A$1:$B$6,2,0)</f>
        <v>Staff</v>
      </c>
      <c r="F208" s="12">
        <v>45876</v>
      </c>
      <c r="G208" s="8" cm="1">
        <f t="array" ref="G208">INDEX('Tabel Acuan'!$F$4:$F$39,
MATCH(1,('Tabel Acuan'!$D$4:$D$39='Data Gaji Pegawai'!D208)*('Tabel Acuan'!$E$4:$E$39='Data Gaji Pegawai'!E208),0))</f>
        <v>5200000</v>
      </c>
      <c r="H208">
        <f>I208/100000</f>
        <v>10</v>
      </c>
      <c r="I208" s="14">
        <v>1000000</v>
      </c>
      <c r="J208">
        <f ca="1">INT((TODAY()-F208)/30.417)</f>
        <v>10</v>
      </c>
      <c r="K208" s="13">
        <f t="shared" ca="1" si="3"/>
        <v>0</v>
      </c>
      <c r="L208" s="8">
        <f>G208*3.7%</f>
        <v>192400.00000000003</v>
      </c>
      <c r="M208" s="8">
        <f>G208*2%</f>
        <v>104000</v>
      </c>
      <c r="N208" s="8">
        <f>G208*4%</f>
        <v>208000</v>
      </c>
      <c r="O208" s="8">
        <f>G208*1%</f>
        <v>52000</v>
      </c>
      <c r="P208">
        <v>14</v>
      </c>
      <c r="Q208" s="13">
        <f>P208*200000</f>
        <v>2800000</v>
      </c>
      <c r="R208" s="8">
        <v>250000</v>
      </c>
      <c r="S208" s="9">
        <f>8%*G208</f>
        <v>416000</v>
      </c>
    </row>
    <row r="209" spans="1:19" x14ac:dyDescent="0.3">
      <c r="A209">
        <v>207</v>
      </c>
      <c r="B209" s="10" t="s">
        <v>454</v>
      </c>
      <c r="C209" s="10" t="s">
        <v>455</v>
      </c>
      <c r="D209" s="11" t="str">
        <f>VLOOKUP(MID(B209,6,1),'Tabel Acuan'!$A$10:$B$17,2,0)</f>
        <v>Marketing</v>
      </c>
      <c r="E209" t="str">
        <f>VLOOKUP(MID(B209,8,2),'Tabel Acuan'!$A$1:$B$6,2,0)</f>
        <v>Manager</v>
      </c>
      <c r="F209" s="12">
        <v>43860</v>
      </c>
      <c r="G209" s="8" cm="1">
        <f t="array" ref="G209">INDEX('Tabel Acuan'!$F$4:$F$39,
MATCH(1,('Tabel Acuan'!$D$4:$D$39='Data Gaji Pegawai'!D209)*('Tabel Acuan'!$E$4:$E$39='Data Gaji Pegawai'!E209),0))</f>
        <v>13000000</v>
      </c>
      <c r="H209">
        <f>I209/100000</f>
        <v>4</v>
      </c>
      <c r="I209" s="14">
        <v>400000</v>
      </c>
      <c r="J209">
        <f ca="1">INT((TODAY()-F209)/30.417)</f>
        <v>77</v>
      </c>
      <c r="K209" s="13">
        <f t="shared" ca="1" si="3"/>
        <v>0</v>
      </c>
      <c r="L209" s="8">
        <f>G209*3.7%</f>
        <v>481000.00000000006</v>
      </c>
      <c r="M209" s="8">
        <f>G209*2%</f>
        <v>260000</v>
      </c>
      <c r="N209" s="8">
        <f>G209*4%</f>
        <v>520000</v>
      </c>
      <c r="O209" s="8">
        <f>G209*1%</f>
        <v>130000</v>
      </c>
      <c r="P209">
        <v>12</v>
      </c>
      <c r="Q209" s="13">
        <f>P209*200000</f>
        <v>2400000</v>
      </c>
      <c r="R209" s="8">
        <v>5000000</v>
      </c>
      <c r="S209" s="9">
        <f>8%*G209</f>
        <v>1040000</v>
      </c>
    </row>
    <row r="210" spans="1:19" x14ac:dyDescent="0.3">
      <c r="A210">
        <v>208</v>
      </c>
      <c r="B210" s="10" t="s">
        <v>456</v>
      </c>
      <c r="C210" s="10" t="s">
        <v>457</v>
      </c>
      <c r="D210" s="11" t="str">
        <f>VLOOKUP(MID(B210,6,1),'Tabel Acuan'!$A$10:$B$17,2,0)</f>
        <v>Finance</v>
      </c>
      <c r="E210" t="str">
        <f>VLOOKUP(MID(B210,8,2),'Tabel Acuan'!$A$1:$B$6,2,0)</f>
        <v>Manager</v>
      </c>
      <c r="F210" s="12">
        <v>46005</v>
      </c>
      <c r="G210" s="8" cm="1">
        <f t="array" ref="G210">INDEX('Tabel Acuan'!$F$4:$F$39,
MATCH(1,('Tabel Acuan'!$D$4:$D$39='Data Gaji Pegawai'!D210)*('Tabel Acuan'!$E$4:$E$39='Data Gaji Pegawai'!E210),0))</f>
        <v>13500000</v>
      </c>
      <c r="H210">
        <f>I210/100000</f>
        <v>50</v>
      </c>
      <c r="I210" s="14">
        <v>5000000</v>
      </c>
      <c r="J210">
        <f ca="1">INT((TODAY()-F210)/30.417)</f>
        <v>6</v>
      </c>
      <c r="K210" s="13">
        <f t="shared" ca="1" si="3"/>
        <v>0</v>
      </c>
      <c r="L210" s="8">
        <f>G210*3.7%</f>
        <v>499500.00000000006</v>
      </c>
      <c r="M210" s="8">
        <f>G210*2%</f>
        <v>270000</v>
      </c>
      <c r="N210" s="8">
        <f>G210*4%</f>
        <v>540000</v>
      </c>
      <c r="O210" s="8">
        <f>G210*1%</f>
        <v>135000</v>
      </c>
      <c r="P210">
        <v>14</v>
      </c>
      <c r="Q210" s="13">
        <f>P210*200000</f>
        <v>2800000</v>
      </c>
      <c r="R210" s="8">
        <v>0</v>
      </c>
      <c r="S210" s="9">
        <f>8%*G210</f>
        <v>1080000</v>
      </c>
    </row>
    <row r="211" spans="1:19" x14ac:dyDescent="0.3">
      <c r="A211">
        <v>209</v>
      </c>
      <c r="B211" s="10" t="s">
        <v>458</v>
      </c>
      <c r="C211" s="10" t="s">
        <v>459</v>
      </c>
      <c r="D211" s="11" t="str">
        <f>VLOOKUP(MID(B211,6,1),'Tabel Acuan'!$A$10:$B$17,2,0)</f>
        <v>Finance</v>
      </c>
      <c r="E211" t="str">
        <f>VLOOKUP(MID(B211,8,2),'Tabel Acuan'!$A$1:$B$6,2,0)</f>
        <v>Supervisor</v>
      </c>
      <c r="F211" s="12">
        <v>42566</v>
      </c>
      <c r="G211" s="8" cm="1">
        <f t="array" ref="G211">INDEX('Tabel Acuan'!$F$4:$F$39,
MATCH(1,('Tabel Acuan'!$D$4:$D$39='Data Gaji Pegawai'!D211)*('Tabel Acuan'!$E$4:$E$39='Data Gaji Pegawai'!E211),0))</f>
        <v>8000000</v>
      </c>
      <c r="H211">
        <f>I211/100000</f>
        <v>60</v>
      </c>
      <c r="I211" s="14">
        <v>6000000</v>
      </c>
      <c r="J211">
        <f ca="1">INT((TODAY()-F211)/30.417)</f>
        <v>119</v>
      </c>
      <c r="K211" s="13">
        <f t="shared" ca="1" si="3"/>
        <v>0</v>
      </c>
      <c r="L211" s="8">
        <f>G211*3.7%</f>
        <v>296000.00000000006</v>
      </c>
      <c r="M211" s="8">
        <f>G211*2%</f>
        <v>160000</v>
      </c>
      <c r="N211" s="8">
        <f>G211*4%</f>
        <v>320000</v>
      </c>
      <c r="O211" s="8">
        <f>G211*1%</f>
        <v>80000</v>
      </c>
      <c r="P211">
        <v>1</v>
      </c>
      <c r="Q211" s="13">
        <f>P211*200000</f>
        <v>200000</v>
      </c>
      <c r="R211" s="8">
        <v>3500000</v>
      </c>
      <c r="S211" s="9">
        <f>8%*G211</f>
        <v>640000</v>
      </c>
    </row>
    <row r="212" spans="1:19" x14ac:dyDescent="0.3">
      <c r="A212">
        <v>210</v>
      </c>
      <c r="B212" s="10" t="s">
        <v>460</v>
      </c>
      <c r="C212" s="10" t="s">
        <v>461</v>
      </c>
      <c r="D212" s="11" t="str">
        <f>VLOOKUP(MID(B212,6,1),'Tabel Acuan'!$A$10:$B$17,2,0)</f>
        <v>Logistics</v>
      </c>
      <c r="E212" t="str">
        <f>VLOOKUP(MID(B212,8,2),'Tabel Acuan'!$A$1:$B$6,2,0)</f>
        <v>Staff</v>
      </c>
      <c r="F212" s="12">
        <v>44855</v>
      </c>
      <c r="G212" s="8" cm="1">
        <f t="array" ref="G212">INDEX('Tabel Acuan'!$F$4:$F$39,
MATCH(1,('Tabel Acuan'!$D$4:$D$39='Data Gaji Pegawai'!D212)*('Tabel Acuan'!$E$4:$E$39='Data Gaji Pegawai'!E212),0))</f>
        <v>5200000</v>
      </c>
      <c r="H212">
        <f>I212/100000</f>
        <v>8</v>
      </c>
      <c r="I212" s="14">
        <v>800000</v>
      </c>
      <c r="J212">
        <f ca="1">INT((TODAY()-F212)/30.417)</f>
        <v>44</v>
      </c>
      <c r="K212" s="13">
        <f t="shared" ca="1" si="3"/>
        <v>0</v>
      </c>
      <c r="L212" s="8">
        <f>G212*3.7%</f>
        <v>192400.00000000003</v>
      </c>
      <c r="M212" s="8">
        <f>G212*2%</f>
        <v>104000</v>
      </c>
      <c r="N212" s="8">
        <f>G212*4%</f>
        <v>208000</v>
      </c>
      <c r="O212" s="8">
        <f>G212*1%</f>
        <v>52000</v>
      </c>
      <c r="P212">
        <v>11</v>
      </c>
      <c r="Q212" s="13">
        <f>P212*200000</f>
        <v>2200000</v>
      </c>
      <c r="R212" s="8">
        <v>3500000</v>
      </c>
      <c r="S212" s="9">
        <f>8%*G212</f>
        <v>416000</v>
      </c>
    </row>
    <row r="213" spans="1:19" x14ac:dyDescent="0.3">
      <c r="A213">
        <v>211</v>
      </c>
      <c r="B213" s="10" t="s">
        <v>462</v>
      </c>
      <c r="C213" s="10" t="s">
        <v>463</v>
      </c>
      <c r="D213" s="11" t="str">
        <f>VLOOKUP(MID(B213,6,1),'Tabel Acuan'!$A$10:$B$17,2,0)</f>
        <v>Finance</v>
      </c>
      <c r="E213" t="str">
        <f>VLOOKUP(MID(B213,8,2),'Tabel Acuan'!$A$1:$B$6,2,0)</f>
        <v>Manager</v>
      </c>
      <c r="F213" s="12">
        <v>43561</v>
      </c>
      <c r="G213" s="8" cm="1">
        <f t="array" ref="G213">INDEX('Tabel Acuan'!$F$4:$F$39,
MATCH(1,('Tabel Acuan'!$D$4:$D$39='Data Gaji Pegawai'!D213)*('Tabel Acuan'!$E$4:$E$39='Data Gaji Pegawai'!E213),0))</f>
        <v>13500000</v>
      </c>
      <c r="H213">
        <f>I213/100000</f>
        <v>31</v>
      </c>
      <c r="I213" s="14">
        <v>3100000</v>
      </c>
      <c r="J213">
        <f ca="1">INT((TODAY()-F213)/30.417)</f>
        <v>86</v>
      </c>
      <c r="K213" s="13">
        <f t="shared" ca="1" si="3"/>
        <v>0</v>
      </c>
      <c r="L213" s="8">
        <f>G213*3.7%</f>
        <v>499500.00000000006</v>
      </c>
      <c r="M213" s="8">
        <f>G213*2%</f>
        <v>270000</v>
      </c>
      <c r="N213" s="8">
        <f>G213*4%</f>
        <v>540000</v>
      </c>
      <c r="O213" s="8">
        <f>G213*1%</f>
        <v>135000</v>
      </c>
      <c r="P213">
        <v>12</v>
      </c>
      <c r="Q213" s="13">
        <f>P213*200000</f>
        <v>2400000</v>
      </c>
      <c r="R213" s="8">
        <v>300000</v>
      </c>
      <c r="S213" s="9">
        <f>8%*G213</f>
        <v>1080000</v>
      </c>
    </row>
    <row r="214" spans="1:19" x14ac:dyDescent="0.3">
      <c r="A214">
        <v>212</v>
      </c>
      <c r="B214" s="10" t="s">
        <v>464</v>
      </c>
      <c r="C214" s="10" t="s">
        <v>465</v>
      </c>
      <c r="D214" s="11" t="str">
        <f>VLOOKUP(MID(B214,6,1),'Tabel Acuan'!$A$10:$B$17,2,0)</f>
        <v>Operations</v>
      </c>
      <c r="E214" t="str">
        <f>VLOOKUP(MID(B214,8,2),'Tabel Acuan'!$A$1:$B$6,2,0)</f>
        <v>Staff</v>
      </c>
      <c r="F214" s="12">
        <v>43779</v>
      </c>
      <c r="G214" s="8" cm="1">
        <f t="array" ref="G214">INDEX('Tabel Acuan'!$F$4:$F$39,
MATCH(1,('Tabel Acuan'!$D$4:$D$39='Data Gaji Pegawai'!D214)*('Tabel Acuan'!$E$4:$E$39='Data Gaji Pegawai'!E214),0))</f>
        <v>5200000</v>
      </c>
      <c r="H214">
        <f>I214/100000</f>
        <v>18</v>
      </c>
      <c r="I214" s="14">
        <v>1800000</v>
      </c>
      <c r="J214">
        <f ca="1">INT((TODAY()-F214)/30.417)</f>
        <v>79</v>
      </c>
      <c r="K214" s="13">
        <f t="shared" ca="1" si="3"/>
        <v>0</v>
      </c>
      <c r="L214" s="8">
        <f>G214*3.7%</f>
        <v>192400.00000000003</v>
      </c>
      <c r="M214" s="8">
        <f>G214*2%</f>
        <v>104000</v>
      </c>
      <c r="N214" s="8">
        <f>G214*4%</f>
        <v>208000</v>
      </c>
      <c r="O214" s="8">
        <f>G214*1%</f>
        <v>52000</v>
      </c>
      <c r="P214">
        <v>15</v>
      </c>
      <c r="Q214" s="13">
        <f>P214*200000</f>
        <v>3000000</v>
      </c>
      <c r="R214" s="8">
        <v>0</v>
      </c>
      <c r="S214" s="9">
        <f>8%*G214</f>
        <v>416000</v>
      </c>
    </row>
    <row r="215" spans="1:19" x14ac:dyDescent="0.3">
      <c r="A215">
        <v>213</v>
      </c>
      <c r="B215" s="10" t="s">
        <v>466</v>
      </c>
      <c r="C215" s="10" t="s">
        <v>467</v>
      </c>
      <c r="D215" s="11" t="str">
        <f>VLOOKUP(MID(B215,6,1),'Tabel Acuan'!$A$10:$B$17,2,0)</f>
        <v>Operations</v>
      </c>
      <c r="E215" t="str">
        <f>VLOOKUP(MID(B215,8,2),'Tabel Acuan'!$A$1:$B$6,2,0)</f>
        <v>Staff</v>
      </c>
      <c r="F215" s="12">
        <v>42963</v>
      </c>
      <c r="G215" s="8" cm="1">
        <f t="array" ref="G215">INDEX('Tabel Acuan'!$F$4:$F$39,
MATCH(1,('Tabel Acuan'!$D$4:$D$39='Data Gaji Pegawai'!D215)*('Tabel Acuan'!$E$4:$E$39='Data Gaji Pegawai'!E215),0))</f>
        <v>5200000</v>
      </c>
      <c r="H215">
        <f>I215/100000</f>
        <v>5</v>
      </c>
      <c r="I215" s="14">
        <v>500000</v>
      </c>
      <c r="J215">
        <f ca="1">INT((TODAY()-F215)/30.417)</f>
        <v>106</v>
      </c>
      <c r="K215" s="13">
        <f t="shared" ca="1" si="3"/>
        <v>0</v>
      </c>
      <c r="L215" s="8">
        <f>G215*3.7%</f>
        <v>192400.00000000003</v>
      </c>
      <c r="M215" s="8">
        <f>G215*2%</f>
        <v>104000</v>
      </c>
      <c r="N215" s="8">
        <f>G215*4%</f>
        <v>208000</v>
      </c>
      <c r="O215" s="8">
        <f>G215*1%</f>
        <v>52000</v>
      </c>
      <c r="P215">
        <v>10</v>
      </c>
      <c r="Q215" s="13">
        <f>P215*200000</f>
        <v>2000000</v>
      </c>
      <c r="R215" s="8">
        <v>4000000</v>
      </c>
      <c r="S215" s="9">
        <f>8%*G215</f>
        <v>416000</v>
      </c>
    </row>
    <row r="216" spans="1:19" x14ac:dyDescent="0.3">
      <c r="A216">
        <v>214</v>
      </c>
      <c r="B216" s="10" t="s">
        <v>468</v>
      </c>
      <c r="C216" s="10" t="s">
        <v>469</v>
      </c>
      <c r="D216" s="11" t="str">
        <f>VLOOKUP(MID(B216,6,1),'Tabel Acuan'!$A$10:$B$17,2,0)</f>
        <v>Marketing</v>
      </c>
      <c r="E216" t="str">
        <f>VLOOKUP(MID(B216,8,2),'Tabel Acuan'!$A$1:$B$6,2,0)</f>
        <v>Senior Staff</v>
      </c>
      <c r="F216" s="12">
        <v>42734</v>
      </c>
      <c r="G216" s="8" cm="1">
        <f t="array" ref="G216">INDEX('Tabel Acuan'!$F$4:$F$39,
MATCH(1,('Tabel Acuan'!$D$4:$D$39='Data Gaji Pegawai'!D216)*('Tabel Acuan'!$E$4:$E$39='Data Gaji Pegawai'!E216),0))</f>
        <v>6400000</v>
      </c>
      <c r="H216">
        <f>I216/100000</f>
        <v>45</v>
      </c>
      <c r="I216" s="14">
        <v>4500000</v>
      </c>
      <c r="J216">
        <f ca="1">INT((TODAY()-F216)/30.417)</f>
        <v>114</v>
      </c>
      <c r="K216" s="13">
        <f t="shared" ca="1" si="3"/>
        <v>0</v>
      </c>
      <c r="L216" s="8">
        <f>G216*3.7%</f>
        <v>236800.00000000003</v>
      </c>
      <c r="M216" s="8">
        <f>G216*2%</f>
        <v>128000</v>
      </c>
      <c r="N216" s="8">
        <f>G216*4%</f>
        <v>256000</v>
      </c>
      <c r="O216" s="8">
        <f>G216*1%</f>
        <v>64000</v>
      </c>
      <c r="P216">
        <v>5</v>
      </c>
      <c r="Q216" s="13">
        <f>P216*200000</f>
        <v>1000000</v>
      </c>
      <c r="R216" s="8">
        <v>2500000</v>
      </c>
      <c r="S216" s="9">
        <f>8%*G216</f>
        <v>512000</v>
      </c>
    </row>
    <row r="217" spans="1:19" x14ac:dyDescent="0.3">
      <c r="A217">
        <v>215</v>
      </c>
      <c r="B217" s="10" t="s">
        <v>470</v>
      </c>
      <c r="C217" s="10" t="s">
        <v>471</v>
      </c>
      <c r="D217" s="11" t="str">
        <f>VLOOKUP(MID(B217,6,1),'Tabel Acuan'!$A$10:$B$17,2,0)</f>
        <v>Human Resources (HR)</v>
      </c>
      <c r="E217" t="str">
        <f>VLOOKUP(MID(B217,8,2),'Tabel Acuan'!$A$1:$B$6,2,0)</f>
        <v>Manager</v>
      </c>
      <c r="F217" s="12">
        <v>43353</v>
      </c>
      <c r="G217" s="8" cm="1">
        <f t="array" ref="G217">INDEX('Tabel Acuan'!$F$4:$F$39,
MATCH(1,('Tabel Acuan'!$D$4:$D$39='Data Gaji Pegawai'!D217)*('Tabel Acuan'!$E$4:$E$39='Data Gaji Pegawai'!E217),0))</f>
        <v>12000000</v>
      </c>
      <c r="H217">
        <f>I217/100000</f>
        <v>1</v>
      </c>
      <c r="I217" s="14">
        <v>100000</v>
      </c>
      <c r="J217">
        <f ca="1">INT((TODAY()-F217)/30.417)</f>
        <v>93</v>
      </c>
      <c r="K217" s="13">
        <f t="shared" ca="1" si="3"/>
        <v>0</v>
      </c>
      <c r="L217" s="8">
        <f>G217*3.7%</f>
        <v>444000.00000000006</v>
      </c>
      <c r="M217" s="8">
        <f>G217*2%</f>
        <v>240000</v>
      </c>
      <c r="N217" s="8">
        <f>G217*4%</f>
        <v>480000</v>
      </c>
      <c r="O217" s="8">
        <f>G217*1%</f>
        <v>120000</v>
      </c>
      <c r="P217">
        <v>11</v>
      </c>
      <c r="Q217" s="13">
        <f>P217*200000</f>
        <v>2200000</v>
      </c>
      <c r="R217" s="8">
        <v>1250000</v>
      </c>
      <c r="S217" s="9">
        <f>8%*G217</f>
        <v>960000</v>
      </c>
    </row>
    <row r="218" spans="1:19" x14ac:dyDescent="0.3">
      <c r="A218">
        <v>216</v>
      </c>
      <c r="B218" s="10" t="s">
        <v>472</v>
      </c>
      <c r="C218" s="10" t="s">
        <v>473</v>
      </c>
      <c r="D218" s="11" t="str">
        <f>VLOOKUP(MID(B218,6,1),'Tabel Acuan'!$A$10:$B$17,2,0)</f>
        <v>Operations</v>
      </c>
      <c r="E218" t="str">
        <f>VLOOKUP(MID(B218,8,2),'Tabel Acuan'!$A$1:$B$6,2,0)</f>
        <v>Manager</v>
      </c>
      <c r="F218" s="12">
        <v>44606</v>
      </c>
      <c r="G218" s="8" cm="1">
        <f t="array" ref="G218">INDEX('Tabel Acuan'!$F$4:$F$39,
MATCH(1,('Tabel Acuan'!$D$4:$D$39='Data Gaji Pegawai'!D218)*('Tabel Acuan'!$E$4:$E$39='Data Gaji Pegawai'!E218),0))</f>
        <v>13000000</v>
      </c>
      <c r="H218">
        <f>I218/100000</f>
        <v>4</v>
      </c>
      <c r="I218" s="14">
        <v>400000</v>
      </c>
      <c r="J218">
        <f ca="1">INT((TODAY()-F218)/30.417)</f>
        <v>52</v>
      </c>
      <c r="K218" s="13">
        <f t="shared" ca="1" si="3"/>
        <v>0</v>
      </c>
      <c r="L218" s="8">
        <f>G218*3.7%</f>
        <v>481000.00000000006</v>
      </c>
      <c r="M218" s="8">
        <f>G218*2%</f>
        <v>260000</v>
      </c>
      <c r="N218" s="8">
        <f>G218*4%</f>
        <v>520000</v>
      </c>
      <c r="O218" s="8">
        <f>G218*1%</f>
        <v>130000</v>
      </c>
      <c r="P218">
        <v>9</v>
      </c>
      <c r="Q218" s="13">
        <f>P218*200000</f>
        <v>1800000</v>
      </c>
      <c r="R218" s="8">
        <v>4000000</v>
      </c>
      <c r="S218" s="9">
        <f>8%*G218</f>
        <v>1040000</v>
      </c>
    </row>
    <row r="219" spans="1:19" x14ac:dyDescent="0.3">
      <c r="A219">
        <v>217</v>
      </c>
      <c r="B219" s="10" t="s">
        <v>474</v>
      </c>
      <c r="C219" s="10" t="s">
        <v>475</v>
      </c>
      <c r="D219" s="11" t="str">
        <f>VLOOKUP(MID(B219,6,1),'Tabel Acuan'!$A$10:$B$17,2,0)</f>
        <v>Marketing</v>
      </c>
      <c r="E219" t="str">
        <f>VLOOKUP(MID(B219,8,2),'Tabel Acuan'!$A$1:$B$6,2,0)</f>
        <v>Senior Staff</v>
      </c>
      <c r="F219" s="12">
        <v>44599</v>
      </c>
      <c r="G219" s="8" cm="1">
        <f t="array" ref="G219">INDEX('Tabel Acuan'!$F$4:$F$39,
MATCH(1,('Tabel Acuan'!$D$4:$D$39='Data Gaji Pegawai'!D219)*('Tabel Acuan'!$E$4:$E$39='Data Gaji Pegawai'!E219),0))</f>
        <v>6400000</v>
      </c>
      <c r="H219">
        <f>I219/100000</f>
        <v>8</v>
      </c>
      <c r="I219" s="14">
        <v>800000</v>
      </c>
      <c r="J219">
        <f ca="1">INT((TODAY()-F219)/30.417)</f>
        <v>52</v>
      </c>
      <c r="K219" s="13">
        <f t="shared" ca="1" si="3"/>
        <v>0</v>
      </c>
      <c r="L219" s="8">
        <f>G219*3.7%</f>
        <v>236800.00000000003</v>
      </c>
      <c r="M219" s="8">
        <f>G219*2%</f>
        <v>128000</v>
      </c>
      <c r="N219" s="8">
        <f>G219*4%</f>
        <v>256000</v>
      </c>
      <c r="O219" s="8">
        <f>G219*1%</f>
        <v>64000</v>
      </c>
      <c r="P219">
        <v>10</v>
      </c>
      <c r="Q219" s="13">
        <f>P219*200000</f>
        <v>2000000</v>
      </c>
      <c r="R219" s="8">
        <v>2000000</v>
      </c>
      <c r="S219" s="9">
        <f>8%*G219</f>
        <v>512000</v>
      </c>
    </row>
    <row r="220" spans="1:19" x14ac:dyDescent="0.3">
      <c r="A220">
        <v>218</v>
      </c>
      <c r="B220" s="10" t="s">
        <v>476</v>
      </c>
      <c r="C220" s="10" t="s">
        <v>477</v>
      </c>
      <c r="D220" s="11" t="str">
        <f>VLOOKUP(MID(B220,6,1),'Tabel Acuan'!$A$10:$B$17,2,0)</f>
        <v>Sales</v>
      </c>
      <c r="E220" t="str">
        <f>VLOOKUP(MID(B220,8,2),'Tabel Acuan'!$A$1:$B$6,2,0)</f>
        <v>Senior Staff</v>
      </c>
      <c r="F220" s="12">
        <v>44844</v>
      </c>
      <c r="G220" s="8" cm="1">
        <f t="array" ref="G220">INDEX('Tabel Acuan'!$F$4:$F$39,
MATCH(1,('Tabel Acuan'!$D$4:$D$39='Data Gaji Pegawai'!D220)*('Tabel Acuan'!$E$4:$E$39='Data Gaji Pegawai'!E220),0))</f>
        <v>6000000</v>
      </c>
      <c r="H220">
        <f>I220/100000</f>
        <v>40</v>
      </c>
      <c r="I220" s="14">
        <v>4000000</v>
      </c>
      <c r="J220">
        <f ca="1">INT((TODAY()-F220)/30.417)</f>
        <v>44</v>
      </c>
      <c r="K220" s="13">
        <f t="shared" ca="1" si="3"/>
        <v>0</v>
      </c>
      <c r="L220" s="8">
        <f>G220*3.7%</f>
        <v>222000.00000000003</v>
      </c>
      <c r="M220" s="8">
        <f>G220*2%</f>
        <v>120000</v>
      </c>
      <c r="N220" s="8">
        <f>G220*4%</f>
        <v>240000</v>
      </c>
      <c r="O220" s="8">
        <f>G220*1%</f>
        <v>60000</v>
      </c>
      <c r="P220">
        <v>5</v>
      </c>
      <c r="Q220" s="13">
        <f>P220*200000</f>
        <v>1000000</v>
      </c>
      <c r="R220" s="8">
        <v>500000</v>
      </c>
      <c r="S220" s="9">
        <f>8%*G220</f>
        <v>480000</v>
      </c>
    </row>
    <row r="221" spans="1:19" x14ac:dyDescent="0.3">
      <c r="A221">
        <v>219</v>
      </c>
      <c r="B221" s="10" t="s">
        <v>478</v>
      </c>
      <c r="C221" s="10" t="s">
        <v>479</v>
      </c>
      <c r="D221" s="11" t="str">
        <f>VLOOKUP(MID(B221,6,1),'Tabel Acuan'!$A$10:$B$17,2,0)</f>
        <v>Marketing</v>
      </c>
      <c r="E221" t="str">
        <f>VLOOKUP(MID(B221,8,2),'Tabel Acuan'!$A$1:$B$6,2,0)</f>
        <v>Assistant Manager</v>
      </c>
      <c r="F221" s="12">
        <v>44462</v>
      </c>
      <c r="G221" s="8" cm="1">
        <f t="array" ref="G221">INDEX('Tabel Acuan'!$F$4:$F$39,
MATCH(1,('Tabel Acuan'!$D$4:$D$39='Data Gaji Pegawai'!D221)*('Tabel Acuan'!$E$4:$E$39='Data Gaji Pegawai'!E221),0))</f>
        <v>9800000</v>
      </c>
      <c r="H221">
        <f>I221/100000</f>
        <v>9</v>
      </c>
      <c r="I221" s="14">
        <v>900000</v>
      </c>
      <c r="J221">
        <f ca="1">INT((TODAY()-F221)/30.417)</f>
        <v>57</v>
      </c>
      <c r="K221" s="13">
        <f t="shared" ca="1" si="3"/>
        <v>0</v>
      </c>
      <c r="L221" s="8">
        <f>G221*3.7%</f>
        <v>362600.00000000006</v>
      </c>
      <c r="M221" s="8">
        <f>G221*2%</f>
        <v>196000</v>
      </c>
      <c r="N221" s="8">
        <f>G221*4%</f>
        <v>392000</v>
      </c>
      <c r="O221" s="8">
        <f>G221*1%</f>
        <v>98000</v>
      </c>
      <c r="P221">
        <v>9</v>
      </c>
      <c r="Q221" s="13">
        <f>P221*200000</f>
        <v>1800000</v>
      </c>
      <c r="R221" s="8">
        <v>0</v>
      </c>
      <c r="S221" s="9">
        <f>8%*G221</f>
        <v>784000</v>
      </c>
    </row>
    <row r="222" spans="1:19" x14ac:dyDescent="0.3">
      <c r="A222">
        <v>220</v>
      </c>
      <c r="B222" s="10" t="s">
        <v>480</v>
      </c>
      <c r="C222" s="10" t="s">
        <v>481</v>
      </c>
      <c r="D222" s="11" t="str">
        <f>VLOOKUP(MID(B222,6,1),'Tabel Acuan'!$A$10:$B$17,2,0)</f>
        <v>Sales</v>
      </c>
      <c r="E222" t="str">
        <f>VLOOKUP(MID(B222,8,2),'Tabel Acuan'!$A$1:$B$6,2,0)</f>
        <v>Staff</v>
      </c>
      <c r="F222" s="12">
        <v>43871</v>
      </c>
      <c r="G222" s="8" cm="1">
        <f t="array" ref="G222">INDEX('Tabel Acuan'!$F$4:$F$39,
MATCH(1,('Tabel Acuan'!$D$4:$D$39='Data Gaji Pegawai'!D222)*('Tabel Acuan'!$E$4:$E$39='Data Gaji Pegawai'!E222),0))</f>
        <v>5000000</v>
      </c>
      <c r="H222">
        <f>I222/100000</f>
        <v>16</v>
      </c>
      <c r="I222" s="14">
        <v>1600000</v>
      </c>
      <c r="J222">
        <f ca="1">INT((TODAY()-F222)/30.417)</f>
        <v>76</v>
      </c>
      <c r="K222" s="13">
        <f t="shared" ca="1" si="3"/>
        <v>0</v>
      </c>
      <c r="L222" s="8">
        <f>G222*3.7%</f>
        <v>185000.00000000003</v>
      </c>
      <c r="M222" s="8">
        <f>G222*2%</f>
        <v>100000</v>
      </c>
      <c r="N222" s="8">
        <f>G222*4%</f>
        <v>200000</v>
      </c>
      <c r="O222" s="8">
        <f>G222*1%</f>
        <v>50000</v>
      </c>
      <c r="P222">
        <v>6</v>
      </c>
      <c r="Q222" s="13">
        <f>P222*200000</f>
        <v>1200000</v>
      </c>
      <c r="R222" s="8">
        <v>2500000</v>
      </c>
      <c r="S222" s="9">
        <f>8%*G222</f>
        <v>400000</v>
      </c>
    </row>
    <row r="223" spans="1:19" x14ac:dyDescent="0.3">
      <c r="A223">
        <v>221</v>
      </c>
      <c r="B223" s="10" t="s">
        <v>482</v>
      </c>
      <c r="C223" s="10" t="s">
        <v>483</v>
      </c>
      <c r="D223" s="11" t="str">
        <f>VLOOKUP(MID(B223,6,1),'Tabel Acuan'!$A$10:$B$17,2,0)</f>
        <v>Finance</v>
      </c>
      <c r="E223" t="str">
        <f>VLOOKUP(MID(B223,8,2),'Tabel Acuan'!$A$1:$B$6,2,0)</f>
        <v>Senior Staff</v>
      </c>
      <c r="F223" s="12">
        <v>43513</v>
      </c>
      <c r="G223" s="8" cm="1">
        <f t="array" ref="G223">INDEX('Tabel Acuan'!$F$4:$F$39,
MATCH(1,('Tabel Acuan'!$D$4:$D$39='Data Gaji Pegawai'!D223)*('Tabel Acuan'!$E$4:$E$39='Data Gaji Pegawai'!E223),0))</f>
        <v>6600000</v>
      </c>
      <c r="H223">
        <f>I223/100000</f>
        <v>32</v>
      </c>
      <c r="I223" s="14">
        <v>3200000</v>
      </c>
      <c r="J223">
        <f ca="1">INT((TODAY()-F223)/30.417)</f>
        <v>88</v>
      </c>
      <c r="K223" s="13">
        <f t="shared" ca="1" si="3"/>
        <v>0</v>
      </c>
      <c r="L223" s="8">
        <f>G223*3.7%</f>
        <v>244200.00000000003</v>
      </c>
      <c r="M223" s="8">
        <f>G223*2%</f>
        <v>132000</v>
      </c>
      <c r="N223" s="8">
        <f>G223*4%</f>
        <v>264000</v>
      </c>
      <c r="O223" s="8">
        <f>G223*1%</f>
        <v>66000</v>
      </c>
      <c r="P223">
        <v>5</v>
      </c>
      <c r="Q223" s="13">
        <f>P223*200000</f>
        <v>1000000</v>
      </c>
      <c r="R223" s="8">
        <v>3000000</v>
      </c>
      <c r="S223" s="9">
        <f>8%*G223</f>
        <v>528000</v>
      </c>
    </row>
    <row r="224" spans="1:19" x14ac:dyDescent="0.3">
      <c r="A224">
        <v>222</v>
      </c>
      <c r="B224" s="10" t="s">
        <v>484</v>
      </c>
      <c r="C224" s="10" t="s">
        <v>485</v>
      </c>
      <c r="D224" s="11" t="str">
        <f>VLOOKUP(MID(B224,6,1),'Tabel Acuan'!$A$10:$B$17,2,0)</f>
        <v>Finance</v>
      </c>
      <c r="E224" t="str">
        <f>VLOOKUP(MID(B224,8,2),'Tabel Acuan'!$A$1:$B$6,2,0)</f>
        <v>Senior Staff</v>
      </c>
      <c r="F224" s="12">
        <v>42908</v>
      </c>
      <c r="G224" s="8" cm="1">
        <f t="array" ref="G224">INDEX('Tabel Acuan'!$F$4:$F$39,
MATCH(1,('Tabel Acuan'!$D$4:$D$39='Data Gaji Pegawai'!D224)*('Tabel Acuan'!$E$4:$E$39='Data Gaji Pegawai'!E224),0))</f>
        <v>6600000</v>
      </c>
      <c r="H224">
        <f>I224/100000</f>
        <v>53</v>
      </c>
      <c r="I224" s="14">
        <v>5300000</v>
      </c>
      <c r="J224">
        <f ca="1">INT((TODAY()-F224)/30.417)</f>
        <v>108</v>
      </c>
      <c r="K224" s="13">
        <f t="shared" ca="1" si="3"/>
        <v>0</v>
      </c>
      <c r="L224" s="8">
        <f>G224*3.7%</f>
        <v>244200.00000000003</v>
      </c>
      <c r="M224" s="8">
        <f>G224*2%</f>
        <v>132000</v>
      </c>
      <c r="N224" s="8">
        <f>G224*4%</f>
        <v>264000</v>
      </c>
      <c r="O224" s="8">
        <f>G224*1%</f>
        <v>66000</v>
      </c>
      <c r="P224">
        <v>1</v>
      </c>
      <c r="Q224" s="13">
        <f>P224*200000</f>
        <v>200000</v>
      </c>
      <c r="R224" s="8">
        <v>250000</v>
      </c>
      <c r="S224" s="9">
        <f>8%*G224</f>
        <v>528000</v>
      </c>
    </row>
    <row r="225" spans="1:19" x14ac:dyDescent="0.3">
      <c r="A225">
        <v>223</v>
      </c>
      <c r="B225" s="10" t="s">
        <v>486</v>
      </c>
      <c r="C225" s="10" t="s">
        <v>487</v>
      </c>
      <c r="D225" s="11" t="str">
        <f>VLOOKUP(MID(B225,6,1),'Tabel Acuan'!$A$10:$B$17,2,0)</f>
        <v>Human Resources (HR)</v>
      </c>
      <c r="E225" t="str">
        <f>VLOOKUP(MID(B225,8,2),'Tabel Acuan'!$A$1:$B$6,2,0)</f>
        <v>Manager</v>
      </c>
      <c r="F225" s="12">
        <v>42505</v>
      </c>
      <c r="G225" s="8" cm="1">
        <f t="array" ref="G225">INDEX('Tabel Acuan'!$F$4:$F$39,
MATCH(1,('Tabel Acuan'!$D$4:$D$39='Data Gaji Pegawai'!D225)*('Tabel Acuan'!$E$4:$E$39='Data Gaji Pegawai'!E225),0))</f>
        <v>12000000</v>
      </c>
      <c r="H225">
        <f>I225/100000</f>
        <v>41</v>
      </c>
      <c r="I225" s="14">
        <v>4100000</v>
      </c>
      <c r="J225">
        <f ca="1">INT((TODAY()-F225)/30.417)</f>
        <v>121</v>
      </c>
      <c r="K225" s="13">
        <f t="shared" ca="1" si="3"/>
        <v>0</v>
      </c>
      <c r="L225" s="8">
        <f>G225*3.7%</f>
        <v>444000.00000000006</v>
      </c>
      <c r="M225" s="8">
        <f>G225*2%</f>
        <v>240000</v>
      </c>
      <c r="N225" s="8">
        <f>G225*4%</f>
        <v>480000</v>
      </c>
      <c r="O225" s="8">
        <f>G225*1%</f>
        <v>120000</v>
      </c>
      <c r="P225">
        <v>6</v>
      </c>
      <c r="Q225" s="13">
        <f>P225*200000</f>
        <v>1200000</v>
      </c>
      <c r="R225" s="8">
        <v>1500000</v>
      </c>
      <c r="S225" s="9">
        <f>8%*G225</f>
        <v>960000</v>
      </c>
    </row>
    <row r="226" spans="1:19" x14ac:dyDescent="0.3">
      <c r="A226">
        <v>224</v>
      </c>
      <c r="B226" s="10" t="s">
        <v>488</v>
      </c>
      <c r="C226" s="10" t="s">
        <v>489</v>
      </c>
      <c r="D226" s="11" t="str">
        <f>VLOOKUP(MID(B226,6,1),'Tabel Acuan'!$A$10:$B$17,2,0)</f>
        <v>Sales</v>
      </c>
      <c r="E226" t="str">
        <f>VLOOKUP(MID(B226,8,2),'Tabel Acuan'!$A$1:$B$6,2,0)</f>
        <v>Staff</v>
      </c>
      <c r="F226" s="12">
        <v>45440</v>
      </c>
      <c r="G226" s="8" cm="1">
        <f t="array" ref="G226">INDEX('Tabel Acuan'!$F$4:$F$39,
MATCH(1,('Tabel Acuan'!$D$4:$D$39='Data Gaji Pegawai'!D226)*('Tabel Acuan'!$E$4:$E$39='Data Gaji Pegawai'!E226),0))</f>
        <v>5000000</v>
      </c>
      <c r="H226">
        <f>I226/100000</f>
        <v>41</v>
      </c>
      <c r="I226" s="14">
        <v>4100000</v>
      </c>
      <c r="J226">
        <f ca="1">INT((TODAY()-F226)/30.417)</f>
        <v>25</v>
      </c>
      <c r="K226" s="13">
        <f t="shared" ca="1" si="3"/>
        <v>0</v>
      </c>
      <c r="L226" s="8">
        <f>G226*3.7%</f>
        <v>185000.00000000003</v>
      </c>
      <c r="M226" s="8">
        <f>G226*2%</f>
        <v>100000</v>
      </c>
      <c r="N226" s="8">
        <f>G226*4%</f>
        <v>200000</v>
      </c>
      <c r="O226" s="8">
        <f>G226*1%</f>
        <v>50000</v>
      </c>
      <c r="P226">
        <v>9</v>
      </c>
      <c r="Q226" s="13">
        <f>P226*200000</f>
        <v>1800000</v>
      </c>
      <c r="R226" s="8">
        <v>5000000</v>
      </c>
      <c r="S226" s="9">
        <f>8%*G226</f>
        <v>400000</v>
      </c>
    </row>
    <row r="227" spans="1:19" x14ac:dyDescent="0.3">
      <c r="A227">
        <v>225</v>
      </c>
      <c r="B227" s="10" t="s">
        <v>490</v>
      </c>
      <c r="C227" s="10" t="s">
        <v>491</v>
      </c>
      <c r="D227" s="11" t="str">
        <f>VLOOKUP(MID(B227,6,1),'Tabel Acuan'!$A$10:$B$17,2,0)</f>
        <v>Information Technology (IT)</v>
      </c>
      <c r="E227" t="str">
        <f>VLOOKUP(MID(B227,8,2),'Tabel Acuan'!$A$1:$B$6,2,0)</f>
        <v>Staff</v>
      </c>
      <c r="F227" s="12">
        <v>45688</v>
      </c>
      <c r="G227" s="8" cm="1">
        <f t="array" ref="G227">INDEX('Tabel Acuan'!$F$4:$F$39,
MATCH(1,('Tabel Acuan'!$D$4:$D$39='Data Gaji Pegawai'!D227)*('Tabel Acuan'!$E$4:$E$39='Data Gaji Pegawai'!E227),0))</f>
        <v>6000000</v>
      </c>
      <c r="H227">
        <f>I227/100000</f>
        <v>10</v>
      </c>
      <c r="I227" s="14">
        <v>1000000</v>
      </c>
      <c r="J227">
        <f ca="1">INT((TODAY()-F227)/30.417)</f>
        <v>16</v>
      </c>
      <c r="K227" s="13">
        <f t="shared" ca="1" si="3"/>
        <v>0</v>
      </c>
      <c r="L227" s="8">
        <f>G227*3.7%</f>
        <v>222000.00000000003</v>
      </c>
      <c r="M227" s="8">
        <f>G227*2%</f>
        <v>120000</v>
      </c>
      <c r="N227" s="8">
        <f>G227*4%</f>
        <v>240000</v>
      </c>
      <c r="O227" s="8">
        <f>G227*1%</f>
        <v>60000</v>
      </c>
      <c r="P227">
        <v>14</v>
      </c>
      <c r="Q227" s="13">
        <f>P227*200000</f>
        <v>2800000</v>
      </c>
      <c r="R227" s="8">
        <v>2000000</v>
      </c>
      <c r="S227" s="9">
        <f>8%*G227</f>
        <v>480000</v>
      </c>
    </row>
    <row r="228" spans="1:19" x14ac:dyDescent="0.3">
      <c r="A228">
        <v>226</v>
      </c>
      <c r="B228" s="10" t="s">
        <v>492</v>
      </c>
      <c r="C228" s="10" t="s">
        <v>493</v>
      </c>
      <c r="D228" s="11" t="str">
        <f>VLOOKUP(MID(B228,6,1),'Tabel Acuan'!$A$10:$B$17,2,0)</f>
        <v>Logistics</v>
      </c>
      <c r="E228" t="str">
        <f>VLOOKUP(MID(B228,8,2),'Tabel Acuan'!$A$1:$B$6,2,0)</f>
        <v>Senior Staff</v>
      </c>
      <c r="F228" s="12">
        <v>43264</v>
      </c>
      <c r="G228" s="8" cm="1">
        <f t="array" ref="G228">INDEX('Tabel Acuan'!$F$4:$F$39,
MATCH(1,('Tabel Acuan'!$D$4:$D$39='Data Gaji Pegawai'!D228)*('Tabel Acuan'!$E$4:$E$39='Data Gaji Pegawai'!E228),0))</f>
        <v>6250000</v>
      </c>
      <c r="H228">
        <f>I228/100000</f>
        <v>46</v>
      </c>
      <c r="I228" s="14">
        <v>4600000</v>
      </c>
      <c r="J228">
        <f ca="1">INT((TODAY()-F228)/30.417)</f>
        <v>96</v>
      </c>
      <c r="K228" s="13">
        <f t="shared" ca="1" si="3"/>
        <v>0</v>
      </c>
      <c r="L228" s="8">
        <f>G228*3.7%</f>
        <v>231250.00000000003</v>
      </c>
      <c r="M228" s="8">
        <f>G228*2%</f>
        <v>125000</v>
      </c>
      <c r="N228" s="8">
        <f>G228*4%</f>
        <v>250000</v>
      </c>
      <c r="O228" s="8">
        <f>G228*1%</f>
        <v>62500</v>
      </c>
      <c r="P228">
        <v>11</v>
      </c>
      <c r="Q228" s="13">
        <f>P228*200000</f>
        <v>2200000</v>
      </c>
      <c r="R228" s="8">
        <v>500000</v>
      </c>
      <c r="S228" s="9">
        <f>8%*G228</f>
        <v>500000</v>
      </c>
    </row>
    <row r="229" spans="1:19" x14ac:dyDescent="0.3">
      <c r="A229">
        <v>227</v>
      </c>
      <c r="B229" s="10" t="s">
        <v>494</v>
      </c>
      <c r="C229" s="10" t="s">
        <v>495</v>
      </c>
      <c r="D229" s="11" t="str">
        <f>VLOOKUP(MID(B229,6,1),'Tabel Acuan'!$A$10:$B$17,2,0)</f>
        <v>Marketing</v>
      </c>
      <c r="E229" t="str">
        <f>VLOOKUP(MID(B229,8,2),'Tabel Acuan'!$A$1:$B$6,2,0)</f>
        <v>Senior Staff</v>
      </c>
      <c r="F229" s="12">
        <v>44069</v>
      </c>
      <c r="G229" s="8" cm="1">
        <f t="array" ref="G229">INDEX('Tabel Acuan'!$F$4:$F$39,
MATCH(1,('Tabel Acuan'!$D$4:$D$39='Data Gaji Pegawai'!D229)*('Tabel Acuan'!$E$4:$E$39='Data Gaji Pegawai'!E229),0))</f>
        <v>6400000</v>
      </c>
      <c r="H229">
        <f>I229/100000</f>
        <v>7</v>
      </c>
      <c r="I229" s="14">
        <v>700000</v>
      </c>
      <c r="J229">
        <f ca="1">INT((TODAY()-F229)/30.417)</f>
        <v>70</v>
      </c>
      <c r="K229" s="13">
        <f t="shared" ca="1" si="3"/>
        <v>0</v>
      </c>
      <c r="L229" s="8">
        <f>G229*3.7%</f>
        <v>236800.00000000003</v>
      </c>
      <c r="M229" s="8">
        <f>G229*2%</f>
        <v>128000</v>
      </c>
      <c r="N229" s="8">
        <f>G229*4%</f>
        <v>256000</v>
      </c>
      <c r="O229" s="8">
        <f>G229*1%</f>
        <v>64000</v>
      </c>
      <c r="P229">
        <v>8</v>
      </c>
      <c r="Q229" s="13">
        <f>P229*200000</f>
        <v>1600000</v>
      </c>
      <c r="R229" s="8">
        <v>500000</v>
      </c>
      <c r="S229" s="9">
        <f>8%*G229</f>
        <v>512000</v>
      </c>
    </row>
    <row r="230" spans="1:19" x14ac:dyDescent="0.3">
      <c r="A230">
        <v>228</v>
      </c>
      <c r="B230" s="10" t="s">
        <v>496</v>
      </c>
      <c r="C230" s="10" t="s">
        <v>497</v>
      </c>
      <c r="D230" s="11" t="str">
        <f>VLOOKUP(MID(B230,6,1),'Tabel Acuan'!$A$10:$B$17,2,0)</f>
        <v>Human Resources (HR)</v>
      </c>
      <c r="E230" t="str">
        <f>VLOOKUP(MID(B230,8,2),'Tabel Acuan'!$A$1:$B$6,2,0)</f>
        <v>Staff</v>
      </c>
      <c r="F230" s="12">
        <v>42584</v>
      </c>
      <c r="G230" s="8" cm="1">
        <f t="array" ref="G230">INDEX('Tabel Acuan'!$F$4:$F$39,
MATCH(1,('Tabel Acuan'!$D$4:$D$39='Data Gaji Pegawai'!D230)*('Tabel Acuan'!$E$4:$E$39='Data Gaji Pegawai'!E230),0))</f>
        <v>5000000</v>
      </c>
      <c r="H230">
        <f>I230/100000</f>
        <v>15</v>
      </c>
      <c r="I230" s="14">
        <v>1500000</v>
      </c>
      <c r="J230">
        <f ca="1">INT((TODAY()-F230)/30.417)</f>
        <v>119</v>
      </c>
      <c r="K230" s="13">
        <f t="shared" ca="1" si="3"/>
        <v>0</v>
      </c>
      <c r="L230" s="8">
        <f>G230*3.7%</f>
        <v>185000.00000000003</v>
      </c>
      <c r="M230" s="8">
        <f>G230*2%</f>
        <v>100000</v>
      </c>
      <c r="N230" s="8">
        <f>G230*4%</f>
        <v>200000</v>
      </c>
      <c r="O230" s="8">
        <f>G230*1%</f>
        <v>50000</v>
      </c>
      <c r="P230">
        <v>5</v>
      </c>
      <c r="Q230" s="13">
        <f>P230*200000</f>
        <v>1000000</v>
      </c>
      <c r="R230" s="8">
        <v>3000000</v>
      </c>
      <c r="S230" s="9">
        <f>8%*G230</f>
        <v>400000</v>
      </c>
    </row>
    <row r="231" spans="1:19" x14ac:dyDescent="0.3">
      <c r="A231">
        <v>229</v>
      </c>
      <c r="B231" s="10" t="s">
        <v>498</v>
      </c>
      <c r="C231" s="10" t="s">
        <v>499</v>
      </c>
      <c r="D231" s="11" t="str">
        <f>VLOOKUP(MID(B231,6,1),'Tabel Acuan'!$A$10:$B$17,2,0)</f>
        <v>Finance</v>
      </c>
      <c r="E231" t="str">
        <f>VLOOKUP(MID(B231,8,2),'Tabel Acuan'!$A$1:$B$6,2,0)</f>
        <v>Supervisor</v>
      </c>
      <c r="F231" s="12">
        <v>44070</v>
      </c>
      <c r="G231" s="8" cm="1">
        <f t="array" ref="G231">INDEX('Tabel Acuan'!$F$4:$F$39,
MATCH(1,('Tabel Acuan'!$D$4:$D$39='Data Gaji Pegawai'!D231)*('Tabel Acuan'!$E$4:$E$39='Data Gaji Pegawai'!E231),0))</f>
        <v>8000000</v>
      </c>
      <c r="H231">
        <f>I231/100000</f>
        <v>31</v>
      </c>
      <c r="I231" s="14">
        <v>3100000</v>
      </c>
      <c r="J231">
        <f ca="1">INT((TODAY()-F231)/30.417)</f>
        <v>70</v>
      </c>
      <c r="K231" s="13">
        <f t="shared" ca="1" si="3"/>
        <v>0</v>
      </c>
      <c r="L231" s="8">
        <f>G231*3.7%</f>
        <v>296000.00000000006</v>
      </c>
      <c r="M231" s="8">
        <f>G231*2%</f>
        <v>160000</v>
      </c>
      <c r="N231" s="8">
        <f>G231*4%</f>
        <v>320000</v>
      </c>
      <c r="O231" s="8">
        <f>G231*1%</f>
        <v>80000</v>
      </c>
      <c r="P231">
        <v>9</v>
      </c>
      <c r="Q231" s="13">
        <f>P231*200000</f>
        <v>1800000</v>
      </c>
      <c r="R231" s="8">
        <v>300000</v>
      </c>
      <c r="S231" s="9">
        <f>8%*G231</f>
        <v>640000</v>
      </c>
    </row>
    <row r="232" spans="1:19" x14ac:dyDescent="0.3">
      <c r="A232">
        <v>230</v>
      </c>
      <c r="B232" s="10" t="s">
        <v>500</v>
      </c>
      <c r="C232" s="10" t="s">
        <v>501</v>
      </c>
      <c r="D232" s="11" t="str">
        <f>VLOOKUP(MID(B232,6,1),'Tabel Acuan'!$A$10:$B$17,2,0)</f>
        <v>Marketing</v>
      </c>
      <c r="E232" t="str">
        <f>VLOOKUP(MID(B232,8,2),'Tabel Acuan'!$A$1:$B$6,2,0)</f>
        <v>Senior Staff</v>
      </c>
      <c r="F232" s="12">
        <v>44495</v>
      </c>
      <c r="G232" s="8" cm="1">
        <f t="array" ref="G232">INDEX('Tabel Acuan'!$F$4:$F$39,
MATCH(1,('Tabel Acuan'!$D$4:$D$39='Data Gaji Pegawai'!D232)*('Tabel Acuan'!$E$4:$E$39='Data Gaji Pegawai'!E232),0))</f>
        <v>6400000</v>
      </c>
      <c r="H232">
        <f>I232/100000</f>
        <v>22</v>
      </c>
      <c r="I232" s="14">
        <v>2200000</v>
      </c>
      <c r="J232">
        <f ca="1">INT((TODAY()-F232)/30.417)</f>
        <v>56</v>
      </c>
      <c r="K232" s="13">
        <f t="shared" ca="1" si="3"/>
        <v>0</v>
      </c>
      <c r="L232" s="8">
        <f>G232*3.7%</f>
        <v>236800.00000000003</v>
      </c>
      <c r="M232" s="8">
        <f>G232*2%</f>
        <v>128000</v>
      </c>
      <c r="N232" s="8">
        <f>G232*4%</f>
        <v>256000</v>
      </c>
      <c r="O232" s="8">
        <f>G232*1%</f>
        <v>64000</v>
      </c>
      <c r="P232">
        <v>1</v>
      </c>
      <c r="Q232" s="13">
        <f>P232*200000</f>
        <v>200000</v>
      </c>
      <c r="R232" s="8">
        <v>0</v>
      </c>
      <c r="S232" s="9">
        <f>8%*G232</f>
        <v>512000</v>
      </c>
    </row>
    <row r="233" spans="1:19" x14ac:dyDescent="0.3">
      <c r="A233">
        <v>231</v>
      </c>
      <c r="B233" s="10" t="s">
        <v>502</v>
      </c>
      <c r="C233" s="10" t="s">
        <v>503</v>
      </c>
      <c r="D233" s="11" t="str">
        <f>VLOOKUP(MID(B233,6,1),'Tabel Acuan'!$A$10:$B$17,2,0)</f>
        <v>Marketing</v>
      </c>
      <c r="E233" t="str">
        <f>VLOOKUP(MID(B233,8,2),'Tabel Acuan'!$A$1:$B$6,2,0)</f>
        <v>Assistant Manager</v>
      </c>
      <c r="F233" s="12">
        <v>44802</v>
      </c>
      <c r="G233" s="8" cm="1">
        <f t="array" ref="G233">INDEX('Tabel Acuan'!$F$4:$F$39,
MATCH(1,('Tabel Acuan'!$D$4:$D$39='Data Gaji Pegawai'!D233)*('Tabel Acuan'!$E$4:$E$39='Data Gaji Pegawai'!E233),0))</f>
        <v>9800000</v>
      </c>
      <c r="H233">
        <f>I233/100000</f>
        <v>18</v>
      </c>
      <c r="I233" s="14">
        <v>1800000</v>
      </c>
      <c r="J233">
        <f ca="1">INT((TODAY()-F233)/30.417)</f>
        <v>46</v>
      </c>
      <c r="K233" s="13">
        <f t="shared" ca="1" si="3"/>
        <v>0</v>
      </c>
      <c r="L233" s="8">
        <f>G233*3.7%</f>
        <v>362600.00000000006</v>
      </c>
      <c r="M233" s="8">
        <f>G233*2%</f>
        <v>196000</v>
      </c>
      <c r="N233" s="8">
        <f>G233*4%</f>
        <v>392000</v>
      </c>
      <c r="O233" s="8">
        <f>G233*1%</f>
        <v>98000</v>
      </c>
      <c r="P233">
        <v>0</v>
      </c>
      <c r="Q233" s="13">
        <f>P233*200000</f>
        <v>0</v>
      </c>
      <c r="R233" s="8">
        <v>1500000</v>
      </c>
      <c r="S233" s="9">
        <f>8%*G233</f>
        <v>784000</v>
      </c>
    </row>
    <row r="234" spans="1:19" x14ac:dyDescent="0.3">
      <c r="A234">
        <v>232</v>
      </c>
      <c r="B234" s="10" t="s">
        <v>504</v>
      </c>
      <c r="C234" s="10" t="s">
        <v>505</v>
      </c>
      <c r="D234" s="11" t="str">
        <f>VLOOKUP(MID(B234,6,1),'Tabel Acuan'!$A$10:$B$17,2,0)</f>
        <v>Logistics</v>
      </c>
      <c r="E234" t="str">
        <f>VLOOKUP(MID(B234,8,2),'Tabel Acuan'!$A$1:$B$6,2,0)</f>
        <v>Supervisor</v>
      </c>
      <c r="F234" s="12">
        <v>42923</v>
      </c>
      <c r="G234" s="8" cm="1">
        <f t="array" ref="G234">INDEX('Tabel Acuan'!$F$4:$F$39,
MATCH(1,('Tabel Acuan'!$D$4:$D$39='Data Gaji Pegawai'!D234)*('Tabel Acuan'!$E$4:$E$39='Data Gaji Pegawai'!E234),0))</f>
        <v>7500000</v>
      </c>
      <c r="H234">
        <f>I234/100000</f>
        <v>2</v>
      </c>
      <c r="I234" s="14">
        <v>200000</v>
      </c>
      <c r="J234">
        <f ca="1">INT((TODAY()-F234)/30.417)</f>
        <v>107</v>
      </c>
      <c r="K234" s="13">
        <f t="shared" ca="1" si="3"/>
        <v>0</v>
      </c>
      <c r="L234" s="8">
        <f>G234*3.7%</f>
        <v>277500.00000000006</v>
      </c>
      <c r="M234" s="8">
        <f>G234*2%</f>
        <v>150000</v>
      </c>
      <c r="N234" s="8">
        <f>G234*4%</f>
        <v>300000</v>
      </c>
      <c r="O234" s="8">
        <f>G234*1%</f>
        <v>75000</v>
      </c>
      <c r="P234">
        <v>12</v>
      </c>
      <c r="Q234" s="13">
        <f>P234*200000</f>
        <v>2400000</v>
      </c>
      <c r="R234" s="8">
        <v>0</v>
      </c>
      <c r="S234" s="9">
        <f>8%*G234</f>
        <v>600000</v>
      </c>
    </row>
    <row r="235" spans="1:19" x14ac:dyDescent="0.3">
      <c r="A235">
        <v>233</v>
      </c>
      <c r="B235" s="10" t="s">
        <v>506</v>
      </c>
      <c r="C235" s="10" t="s">
        <v>507</v>
      </c>
      <c r="D235" s="11" t="str">
        <f>VLOOKUP(MID(B235,6,1),'Tabel Acuan'!$A$10:$B$17,2,0)</f>
        <v>Finance</v>
      </c>
      <c r="E235" t="str">
        <f>VLOOKUP(MID(B235,8,2),'Tabel Acuan'!$A$1:$B$6,2,0)</f>
        <v>Staff</v>
      </c>
      <c r="F235" s="12">
        <v>45124</v>
      </c>
      <c r="G235" s="8" cm="1">
        <f t="array" ref="G235">INDEX('Tabel Acuan'!$F$4:$F$39,
MATCH(1,('Tabel Acuan'!$D$4:$D$39='Data Gaji Pegawai'!D235)*('Tabel Acuan'!$E$4:$E$39='Data Gaji Pegawai'!E235),0))</f>
        <v>5500000</v>
      </c>
      <c r="H235">
        <f>I235/100000</f>
        <v>32</v>
      </c>
      <c r="I235" s="14">
        <v>3200000</v>
      </c>
      <c r="J235">
        <f ca="1">INT((TODAY()-F235)/30.417)</f>
        <v>35</v>
      </c>
      <c r="K235" s="13">
        <f t="shared" ca="1" si="3"/>
        <v>0</v>
      </c>
      <c r="L235" s="8">
        <f>G235*3.7%</f>
        <v>203500.00000000003</v>
      </c>
      <c r="M235" s="8">
        <f>G235*2%</f>
        <v>110000</v>
      </c>
      <c r="N235" s="8">
        <f>G235*4%</f>
        <v>220000</v>
      </c>
      <c r="O235" s="8">
        <f>G235*1%</f>
        <v>55000</v>
      </c>
      <c r="P235">
        <v>14</v>
      </c>
      <c r="Q235" s="13">
        <f>P235*200000</f>
        <v>2800000</v>
      </c>
      <c r="R235" s="8">
        <v>1000000</v>
      </c>
      <c r="S235" s="9">
        <f>8%*G235</f>
        <v>440000</v>
      </c>
    </row>
    <row r="236" spans="1:19" x14ac:dyDescent="0.3">
      <c r="A236">
        <v>234</v>
      </c>
      <c r="B236" s="10" t="s">
        <v>508</v>
      </c>
      <c r="C236" s="10" t="s">
        <v>509</v>
      </c>
      <c r="D236" s="11" t="str">
        <f>VLOOKUP(MID(B236,6,1),'Tabel Acuan'!$A$10:$B$17,2,0)</f>
        <v>Sales</v>
      </c>
      <c r="E236" t="str">
        <f>VLOOKUP(MID(B236,8,2),'Tabel Acuan'!$A$1:$B$6,2,0)</f>
        <v>Senior Staff</v>
      </c>
      <c r="F236" s="12">
        <v>45493</v>
      </c>
      <c r="G236" s="8" cm="1">
        <f t="array" ref="G236">INDEX('Tabel Acuan'!$F$4:$F$39,
MATCH(1,('Tabel Acuan'!$D$4:$D$39='Data Gaji Pegawai'!D236)*('Tabel Acuan'!$E$4:$E$39='Data Gaji Pegawai'!E236),0))</f>
        <v>6000000</v>
      </c>
      <c r="H236">
        <f>I236/100000</f>
        <v>23</v>
      </c>
      <c r="I236" s="14">
        <v>2300000</v>
      </c>
      <c r="J236">
        <f ca="1">INT((TODAY()-F236)/30.417)</f>
        <v>23</v>
      </c>
      <c r="K236" s="13">
        <f t="shared" ca="1" si="3"/>
        <v>0</v>
      </c>
      <c r="L236" s="8">
        <f>G236*3.7%</f>
        <v>222000.00000000003</v>
      </c>
      <c r="M236" s="8">
        <f>G236*2%</f>
        <v>120000</v>
      </c>
      <c r="N236" s="8">
        <f>G236*4%</f>
        <v>240000</v>
      </c>
      <c r="O236" s="8">
        <f>G236*1%</f>
        <v>60000</v>
      </c>
      <c r="P236">
        <v>10</v>
      </c>
      <c r="Q236" s="13">
        <f>P236*200000</f>
        <v>2000000</v>
      </c>
      <c r="R236" s="8">
        <v>1250000</v>
      </c>
      <c r="S236" s="9">
        <f>8%*G236</f>
        <v>480000</v>
      </c>
    </row>
    <row r="237" spans="1:19" x14ac:dyDescent="0.3">
      <c r="A237">
        <v>235</v>
      </c>
      <c r="B237" s="10" t="s">
        <v>510</v>
      </c>
      <c r="C237" s="10" t="s">
        <v>511</v>
      </c>
      <c r="D237" s="11" t="str">
        <f>VLOOKUP(MID(B237,6,1),'Tabel Acuan'!$A$10:$B$17,2,0)</f>
        <v>Finance</v>
      </c>
      <c r="E237" t="str">
        <f>VLOOKUP(MID(B237,8,2),'Tabel Acuan'!$A$1:$B$6,2,0)</f>
        <v>Senior Staff</v>
      </c>
      <c r="F237" s="12">
        <v>42756</v>
      </c>
      <c r="G237" s="8" cm="1">
        <f t="array" ref="G237">INDEX('Tabel Acuan'!$F$4:$F$39,
MATCH(1,('Tabel Acuan'!$D$4:$D$39='Data Gaji Pegawai'!D237)*('Tabel Acuan'!$E$4:$E$39='Data Gaji Pegawai'!E237),0))</f>
        <v>6600000</v>
      </c>
      <c r="H237">
        <f>I237/100000</f>
        <v>2</v>
      </c>
      <c r="I237" s="14">
        <v>200000</v>
      </c>
      <c r="J237">
        <f ca="1">INT((TODAY()-F237)/30.417)</f>
        <v>113</v>
      </c>
      <c r="K237" s="13">
        <f t="shared" ca="1" si="3"/>
        <v>0</v>
      </c>
      <c r="L237" s="8">
        <f>G237*3.7%</f>
        <v>244200.00000000003</v>
      </c>
      <c r="M237" s="8">
        <f>G237*2%</f>
        <v>132000</v>
      </c>
      <c r="N237" s="8">
        <f>G237*4%</f>
        <v>264000</v>
      </c>
      <c r="O237" s="8">
        <f>G237*1%</f>
        <v>66000</v>
      </c>
      <c r="P237">
        <v>1</v>
      </c>
      <c r="Q237" s="13">
        <f>P237*200000</f>
        <v>200000</v>
      </c>
      <c r="R237" s="8">
        <v>0</v>
      </c>
      <c r="S237" s="9">
        <f>8%*G237</f>
        <v>528000</v>
      </c>
    </row>
    <row r="238" spans="1:19" x14ac:dyDescent="0.3">
      <c r="A238">
        <v>236</v>
      </c>
      <c r="B238" s="10" t="s">
        <v>512</v>
      </c>
      <c r="C238" s="10" t="s">
        <v>513</v>
      </c>
      <c r="D238" s="11" t="str">
        <f>VLOOKUP(MID(B238,6,1),'Tabel Acuan'!$A$10:$B$17,2,0)</f>
        <v>Operations</v>
      </c>
      <c r="E238" t="str">
        <f>VLOOKUP(MID(B238,8,2),'Tabel Acuan'!$A$1:$B$6,2,0)</f>
        <v>Senior Staff</v>
      </c>
      <c r="F238" s="12">
        <v>44141</v>
      </c>
      <c r="G238" s="8" cm="1">
        <f t="array" ref="G238">INDEX('Tabel Acuan'!$F$4:$F$39,
MATCH(1,('Tabel Acuan'!$D$4:$D$39='Data Gaji Pegawai'!D238)*('Tabel Acuan'!$E$4:$E$39='Data Gaji Pegawai'!E238),0))</f>
        <v>6300000</v>
      </c>
      <c r="H238">
        <f>I238/100000</f>
        <v>57</v>
      </c>
      <c r="I238" s="14">
        <v>5700000</v>
      </c>
      <c r="J238">
        <f ca="1">INT((TODAY()-F238)/30.417)</f>
        <v>67</v>
      </c>
      <c r="K238" s="13">
        <f t="shared" ca="1" si="3"/>
        <v>0</v>
      </c>
      <c r="L238" s="8">
        <f>G238*3.7%</f>
        <v>233100.00000000003</v>
      </c>
      <c r="M238" s="8">
        <f>G238*2%</f>
        <v>126000</v>
      </c>
      <c r="N238" s="8">
        <f>G238*4%</f>
        <v>252000</v>
      </c>
      <c r="O238" s="8">
        <f>G238*1%</f>
        <v>63000</v>
      </c>
      <c r="P238">
        <v>4</v>
      </c>
      <c r="Q238" s="13">
        <f>P238*200000</f>
        <v>800000</v>
      </c>
      <c r="R238" s="8">
        <v>0</v>
      </c>
      <c r="S238" s="9">
        <f>8%*G238</f>
        <v>504000</v>
      </c>
    </row>
    <row r="239" spans="1:19" x14ac:dyDescent="0.3">
      <c r="A239">
        <v>237</v>
      </c>
      <c r="B239" s="10" t="s">
        <v>514</v>
      </c>
      <c r="C239" s="10" t="s">
        <v>515</v>
      </c>
      <c r="D239" s="11" t="str">
        <f>VLOOKUP(MID(B239,6,1),'Tabel Acuan'!$A$10:$B$17,2,0)</f>
        <v>Logistics</v>
      </c>
      <c r="E239" t="str">
        <f>VLOOKUP(MID(B239,8,2),'Tabel Acuan'!$A$1:$B$6,2,0)</f>
        <v>Staff</v>
      </c>
      <c r="F239" s="12">
        <v>45445</v>
      </c>
      <c r="G239" s="8" cm="1">
        <f t="array" ref="G239">INDEX('Tabel Acuan'!$F$4:$F$39,
MATCH(1,('Tabel Acuan'!$D$4:$D$39='Data Gaji Pegawai'!D239)*('Tabel Acuan'!$E$4:$E$39='Data Gaji Pegawai'!E239),0))</f>
        <v>5200000</v>
      </c>
      <c r="H239">
        <f>I239/100000</f>
        <v>37</v>
      </c>
      <c r="I239" s="14">
        <v>3700000</v>
      </c>
      <c r="J239">
        <f ca="1">INT((TODAY()-F239)/30.417)</f>
        <v>24</v>
      </c>
      <c r="K239" s="13">
        <f t="shared" ca="1" si="3"/>
        <v>0</v>
      </c>
      <c r="L239" s="8">
        <f>G239*3.7%</f>
        <v>192400.00000000003</v>
      </c>
      <c r="M239" s="8">
        <f>G239*2%</f>
        <v>104000</v>
      </c>
      <c r="N239" s="8">
        <f>G239*4%</f>
        <v>208000</v>
      </c>
      <c r="O239" s="8">
        <f>G239*1%</f>
        <v>52000</v>
      </c>
      <c r="P239">
        <v>10</v>
      </c>
      <c r="Q239" s="13">
        <f>P239*200000</f>
        <v>2000000</v>
      </c>
      <c r="R239" s="8">
        <v>2500000</v>
      </c>
      <c r="S239" s="9">
        <f>8%*G239</f>
        <v>416000</v>
      </c>
    </row>
    <row r="240" spans="1:19" x14ac:dyDescent="0.3">
      <c r="A240">
        <v>238</v>
      </c>
      <c r="B240" s="10" t="s">
        <v>516</v>
      </c>
      <c r="C240" s="10" t="s">
        <v>517</v>
      </c>
      <c r="D240" s="11" t="str">
        <f>VLOOKUP(MID(B240,6,1),'Tabel Acuan'!$A$10:$B$17,2,0)</f>
        <v>Information Technology (IT)</v>
      </c>
      <c r="E240" t="str">
        <f>VLOOKUP(MID(B240,8,2),'Tabel Acuan'!$A$1:$B$6,2,0)</f>
        <v>Supervisor</v>
      </c>
      <c r="F240" s="12">
        <v>44935</v>
      </c>
      <c r="G240" s="8" cm="1">
        <f t="array" ref="G240">INDEX('Tabel Acuan'!$F$4:$F$39,
MATCH(1,('Tabel Acuan'!$D$4:$D$39='Data Gaji Pegawai'!D240)*('Tabel Acuan'!$E$4:$E$39='Data Gaji Pegawai'!E240),0))</f>
        <v>9000000</v>
      </c>
      <c r="H240">
        <f>I240/100000</f>
        <v>23</v>
      </c>
      <c r="I240" s="14">
        <v>2300000</v>
      </c>
      <c r="J240">
        <f ca="1">INT((TODAY()-F240)/30.417)</f>
        <v>41</v>
      </c>
      <c r="K240" s="13">
        <f t="shared" ca="1" si="3"/>
        <v>0</v>
      </c>
      <c r="L240" s="8">
        <f>G240*3.7%</f>
        <v>333000.00000000006</v>
      </c>
      <c r="M240" s="8">
        <f>G240*2%</f>
        <v>180000</v>
      </c>
      <c r="N240" s="8">
        <f>G240*4%</f>
        <v>360000</v>
      </c>
      <c r="O240" s="8">
        <f>G240*1%</f>
        <v>90000</v>
      </c>
      <c r="P240">
        <v>10</v>
      </c>
      <c r="Q240" s="13">
        <f>P240*200000</f>
        <v>2000000</v>
      </c>
      <c r="R240" s="8">
        <v>1500000</v>
      </c>
      <c r="S240" s="9">
        <f>8%*G240</f>
        <v>720000</v>
      </c>
    </row>
    <row r="241" spans="1:19" x14ac:dyDescent="0.3">
      <c r="A241">
        <v>239</v>
      </c>
      <c r="B241" s="10" t="s">
        <v>518</v>
      </c>
      <c r="C241" s="10" t="s">
        <v>519</v>
      </c>
      <c r="D241" s="11" t="str">
        <f>VLOOKUP(MID(B241,6,1),'Tabel Acuan'!$A$10:$B$17,2,0)</f>
        <v>Logistics</v>
      </c>
      <c r="E241" t="str">
        <f>VLOOKUP(MID(B241,8,2),'Tabel Acuan'!$A$1:$B$6,2,0)</f>
        <v>Supervisor</v>
      </c>
      <c r="F241" s="12">
        <v>45614</v>
      </c>
      <c r="G241" s="8" cm="1">
        <f t="array" ref="G241">INDEX('Tabel Acuan'!$F$4:$F$39,
MATCH(1,('Tabel Acuan'!$D$4:$D$39='Data Gaji Pegawai'!D241)*('Tabel Acuan'!$E$4:$E$39='Data Gaji Pegawai'!E241),0))</f>
        <v>7500000</v>
      </c>
      <c r="H241">
        <f>I241/100000</f>
        <v>1</v>
      </c>
      <c r="I241" s="14">
        <v>100000</v>
      </c>
      <c r="J241">
        <f ca="1">INT((TODAY()-F241)/30.417)</f>
        <v>19</v>
      </c>
      <c r="K241" s="13">
        <f t="shared" ca="1" si="3"/>
        <v>0</v>
      </c>
      <c r="L241" s="8">
        <f>G241*3.7%</f>
        <v>277500.00000000006</v>
      </c>
      <c r="M241" s="8">
        <f>G241*2%</f>
        <v>150000</v>
      </c>
      <c r="N241" s="8">
        <f>G241*4%</f>
        <v>300000</v>
      </c>
      <c r="O241" s="8">
        <f>G241*1%</f>
        <v>75000</v>
      </c>
      <c r="P241">
        <v>15</v>
      </c>
      <c r="Q241" s="13">
        <f>P241*200000</f>
        <v>3000000</v>
      </c>
      <c r="R241" s="8">
        <v>0</v>
      </c>
      <c r="S241" s="9">
        <f>8%*G241</f>
        <v>600000</v>
      </c>
    </row>
    <row r="242" spans="1:19" x14ac:dyDescent="0.3">
      <c r="A242">
        <v>240</v>
      </c>
      <c r="B242" s="10" t="s">
        <v>520</v>
      </c>
      <c r="C242" s="10" t="s">
        <v>521</v>
      </c>
      <c r="D242" s="11" t="str">
        <f>VLOOKUP(MID(B242,6,1),'Tabel Acuan'!$A$10:$B$17,2,0)</f>
        <v>Operations</v>
      </c>
      <c r="E242" t="str">
        <f>VLOOKUP(MID(B242,8,2),'Tabel Acuan'!$A$1:$B$6,2,0)</f>
        <v>Manager</v>
      </c>
      <c r="F242" s="12">
        <v>45774</v>
      </c>
      <c r="G242" s="8" cm="1">
        <f t="array" ref="G242">INDEX('Tabel Acuan'!$F$4:$F$39,
MATCH(1,('Tabel Acuan'!$D$4:$D$39='Data Gaji Pegawai'!D242)*('Tabel Acuan'!$E$4:$E$39='Data Gaji Pegawai'!E242),0))</f>
        <v>13000000</v>
      </c>
      <c r="H242">
        <f>I242/100000</f>
        <v>46</v>
      </c>
      <c r="I242" s="14">
        <v>4600000</v>
      </c>
      <c r="J242">
        <f ca="1">INT((TODAY()-F242)/30.417)</f>
        <v>14</v>
      </c>
      <c r="K242" s="13">
        <f t="shared" ca="1" si="3"/>
        <v>0</v>
      </c>
      <c r="L242" s="8">
        <f>G242*3.7%</f>
        <v>481000.00000000006</v>
      </c>
      <c r="M242" s="8">
        <f>G242*2%</f>
        <v>260000</v>
      </c>
      <c r="N242" s="8">
        <f>G242*4%</f>
        <v>520000</v>
      </c>
      <c r="O242" s="8">
        <f>G242*1%</f>
        <v>130000</v>
      </c>
      <c r="P242">
        <v>1</v>
      </c>
      <c r="Q242" s="13">
        <f>P242*200000</f>
        <v>200000</v>
      </c>
      <c r="R242" s="8">
        <v>500000</v>
      </c>
      <c r="S242" s="9">
        <f>8%*G242</f>
        <v>1040000</v>
      </c>
    </row>
    <row r="243" spans="1:19" x14ac:dyDescent="0.3">
      <c r="A243">
        <v>241</v>
      </c>
      <c r="B243" s="10" t="s">
        <v>522</v>
      </c>
      <c r="C243" s="10" t="s">
        <v>523</v>
      </c>
      <c r="D243" s="11" t="str">
        <f>VLOOKUP(MID(B243,6,1),'Tabel Acuan'!$A$10:$B$17,2,0)</f>
        <v>Sales</v>
      </c>
      <c r="E243" t="str">
        <f>VLOOKUP(MID(B243,8,2),'Tabel Acuan'!$A$1:$B$6,2,0)</f>
        <v>Supervisor</v>
      </c>
      <c r="F243" s="12">
        <v>45002</v>
      </c>
      <c r="G243" s="8" cm="1">
        <f t="array" ref="G243">INDEX('Tabel Acuan'!$F$4:$F$39,
MATCH(1,('Tabel Acuan'!$D$4:$D$39='Data Gaji Pegawai'!D243)*('Tabel Acuan'!$E$4:$E$39='Data Gaji Pegawai'!E243),0))</f>
        <v>7500000</v>
      </c>
      <c r="H243">
        <f>I243/100000</f>
        <v>52</v>
      </c>
      <c r="I243" s="14">
        <v>5200000</v>
      </c>
      <c r="J243">
        <f ca="1">INT((TODAY()-F243)/30.417)</f>
        <v>39</v>
      </c>
      <c r="K243" s="13">
        <f t="shared" ca="1" si="3"/>
        <v>0</v>
      </c>
      <c r="L243" s="8">
        <f>G243*3.7%</f>
        <v>277500.00000000006</v>
      </c>
      <c r="M243" s="8">
        <f>G243*2%</f>
        <v>150000</v>
      </c>
      <c r="N243" s="8">
        <f>G243*4%</f>
        <v>300000</v>
      </c>
      <c r="O243" s="8">
        <f>G243*1%</f>
        <v>75000</v>
      </c>
      <c r="P243">
        <v>7</v>
      </c>
      <c r="Q243" s="13">
        <f>P243*200000</f>
        <v>1400000</v>
      </c>
      <c r="R243" s="8">
        <v>0</v>
      </c>
      <c r="S243" s="9">
        <f>8%*G243</f>
        <v>600000</v>
      </c>
    </row>
    <row r="244" spans="1:19" x14ac:dyDescent="0.3">
      <c r="A244">
        <v>242</v>
      </c>
      <c r="B244" s="10" t="s">
        <v>524</v>
      </c>
      <c r="C244" s="10" t="s">
        <v>525</v>
      </c>
      <c r="D244" s="11" t="str">
        <f>VLOOKUP(MID(B244,6,1),'Tabel Acuan'!$A$10:$B$17,2,0)</f>
        <v>Finance</v>
      </c>
      <c r="E244" t="str">
        <f>VLOOKUP(MID(B244,8,2),'Tabel Acuan'!$A$1:$B$6,2,0)</f>
        <v>Staff</v>
      </c>
      <c r="F244" s="12">
        <v>42447</v>
      </c>
      <c r="G244" s="8" cm="1">
        <f t="array" ref="G244">INDEX('Tabel Acuan'!$F$4:$F$39,
MATCH(1,('Tabel Acuan'!$D$4:$D$39='Data Gaji Pegawai'!D244)*('Tabel Acuan'!$E$4:$E$39='Data Gaji Pegawai'!E244),0))</f>
        <v>5500000</v>
      </c>
      <c r="H244">
        <f>I244/100000</f>
        <v>26</v>
      </c>
      <c r="I244" s="14">
        <v>2600000</v>
      </c>
      <c r="J244">
        <f ca="1">INT((TODAY()-F244)/30.417)</f>
        <v>123</v>
      </c>
      <c r="K244" s="13">
        <f t="shared" ca="1" si="3"/>
        <v>0</v>
      </c>
      <c r="L244" s="8">
        <f>G244*3.7%</f>
        <v>203500.00000000003</v>
      </c>
      <c r="M244" s="8">
        <f>G244*2%</f>
        <v>110000</v>
      </c>
      <c r="N244" s="8">
        <f>G244*4%</f>
        <v>220000</v>
      </c>
      <c r="O244" s="8">
        <f>G244*1%</f>
        <v>55000</v>
      </c>
      <c r="P244">
        <v>6</v>
      </c>
      <c r="Q244" s="13">
        <f>P244*200000</f>
        <v>1200000</v>
      </c>
      <c r="R244" s="8">
        <v>5000000</v>
      </c>
      <c r="S244" s="9">
        <f>8%*G244</f>
        <v>440000</v>
      </c>
    </row>
    <row r="245" spans="1:19" x14ac:dyDescent="0.3">
      <c r="A245">
        <v>243</v>
      </c>
      <c r="B245" s="10" t="s">
        <v>526</v>
      </c>
      <c r="C245" s="10" t="s">
        <v>527</v>
      </c>
      <c r="D245" s="11" t="str">
        <f>VLOOKUP(MID(B245,6,1),'Tabel Acuan'!$A$10:$B$17,2,0)</f>
        <v>Information Technology (IT)</v>
      </c>
      <c r="E245" t="str">
        <f>VLOOKUP(MID(B245,8,2),'Tabel Acuan'!$A$1:$B$6,2,0)</f>
        <v>Assistant Manager</v>
      </c>
      <c r="F245" s="12">
        <v>45323</v>
      </c>
      <c r="G245" s="8" cm="1">
        <f t="array" ref="G245">INDEX('Tabel Acuan'!$F$4:$F$39,
MATCH(1,('Tabel Acuan'!$D$4:$D$39='Data Gaji Pegawai'!D245)*('Tabel Acuan'!$E$4:$E$39='Data Gaji Pegawai'!E245),0))</f>
        <v>11500000</v>
      </c>
      <c r="H245">
        <f>I245/100000</f>
        <v>45</v>
      </c>
      <c r="I245" s="14">
        <v>4500000</v>
      </c>
      <c r="J245">
        <f ca="1">INT((TODAY()-F245)/30.417)</f>
        <v>28</v>
      </c>
      <c r="K245" s="13">
        <f t="shared" ca="1" si="3"/>
        <v>0</v>
      </c>
      <c r="L245" s="8">
        <f>G245*3.7%</f>
        <v>425500.00000000006</v>
      </c>
      <c r="M245" s="8">
        <f>G245*2%</f>
        <v>230000</v>
      </c>
      <c r="N245" s="8">
        <f>G245*4%</f>
        <v>460000</v>
      </c>
      <c r="O245" s="8">
        <f>G245*1%</f>
        <v>115000</v>
      </c>
      <c r="P245">
        <v>4</v>
      </c>
      <c r="Q245" s="13">
        <f>P245*200000</f>
        <v>800000</v>
      </c>
      <c r="R245" s="8">
        <v>2500000</v>
      </c>
      <c r="S245" s="9">
        <f>8%*G245</f>
        <v>920000</v>
      </c>
    </row>
    <row r="246" spans="1:19" x14ac:dyDescent="0.3">
      <c r="A246">
        <v>244</v>
      </c>
      <c r="B246" s="10" t="s">
        <v>528</v>
      </c>
      <c r="C246" s="10" t="s">
        <v>186</v>
      </c>
      <c r="D246" s="11" t="str">
        <f>VLOOKUP(MID(B246,6,1),'Tabel Acuan'!$A$10:$B$17,2,0)</f>
        <v>Sales</v>
      </c>
      <c r="E246" t="str">
        <f>VLOOKUP(MID(B246,8,2),'Tabel Acuan'!$A$1:$B$6,2,0)</f>
        <v>Senior Staff</v>
      </c>
      <c r="F246" s="12">
        <v>43919</v>
      </c>
      <c r="G246" s="8" cm="1">
        <f t="array" ref="G246">INDEX('Tabel Acuan'!$F$4:$F$39,
MATCH(1,('Tabel Acuan'!$D$4:$D$39='Data Gaji Pegawai'!D246)*('Tabel Acuan'!$E$4:$E$39='Data Gaji Pegawai'!E246),0))</f>
        <v>6000000</v>
      </c>
      <c r="H246">
        <f>I246/100000</f>
        <v>29</v>
      </c>
      <c r="I246" s="14">
        <v>2900000</v>
      </c>
      <c r="J246">
        <f ca="1">INT((TODAY()-F246)/30.417)</f>
        <v>75</v>
      </c>
      <c r="K246" s="13">
        <f t="shared" ca="1" si="3"/>
        <v>0</v>
      </c>
      <c r="L246" s="8">
        <f>G246*3.7%</f>
        <v>222000.00000000003</v>
      </c>
      <c r="M246" s="8">
        <f>G246*2%</f>
        <v>120000</v>
      </c>
      <c r="N246" s="8">
        <f>G246*4%</f>
        <v>240000</v>
      </c>
      <c r="O246" s="8">
        <f>G246*1%</f>
        <v>60000</v>
      </c>
      <c r="P246">
        <v>10</v>
      </c>
      <c r="Q246" s="13">
        <f>P246*200000</f>
        <v>2000000</v>
      </c>
      <c r="R246" s="8">
        <v>3500000</v>
      </c>
      <c r="S246" s="9">
        <f>8%*G246</f>
        <v>480000</v>
      </c>
    </row>
    <row r="247" spans="1:19" x14ac:dyDescent="0.3">
      <c r="A247">
        <v>245</v>
      </c>
      <c r="B247" s="10" t="s">
        <v>529</v>
      </c>
      <c r="C247" s="10" t="s">
        <v>530</v>
      </c>
      <c r="D247" s="11" t="str">
        <f>VLOOKUP(MID(B247,6,1),'Tabel Acuan'!$A$10:$B$17,2,0)</f>
        <v>Sales</v>
      </c>
      <c r="E247" t="str">
        <f>VLOOKUP(MID(B247,8,2),'Tabel Acuan'!$A$1:$B$6,2,0)</f>
        <v>Supervisor</v>
      </c>
      <c r="F247" s="12">
        <v>45905</v>
      </c>
      <c r="G247" s="8" cm="1">
        <f t="array" ref="G247">INDEX('Tabel Acuan'!$F$4:$F$39,
MATCH(1,('Tabel Acuan'!$D$4:$D$39='Data Gaji Pegawai'!D247)*('Tabel Acuan'!$E$4:$E$39='Data Gaji Pegawai'!E247),0))</f>
        <v>7500000</v>
      </c>
      <c r="H247">
        <f>I247/100000</f>
        <v>12</v>
      </c>
      <c r="I247" s="14">
        <v>1200000</v>
      </c>
      <c r="J247">
        <f ca="1">INT((TODAY()-F247)/30.417)</f>
        <v>9</v>
      </c>
      <c r="K247" s="13">
        <f t="shared" ca="1" si="3"/>
        <v>0</v>
      </c>
      <c r="L247" s="8">
        <f>G247*3.7%</f>
        <v>277500.00000000006</v>
      </c>
      <c r="M247" s="8">
        <f>G247*2%</f>
        <v>150000</v>
      </c>
      <c r="N247" s="8">
        <f>G247*4%</f>
        <v>300000</v>
      </c>
      <c r="O247" s="8">
        <f>G247*1%</f>
        <v>75000</v>
      </c>
      <c r="P247">
        <v>7</v>
      </c>
      <c r="Q247" s="13">
        <f>P247*200000</f>
        <v>1400000</v>
      </c>
      <c r="R247" s="8">
        <v>0</v>
      </c>
      <c r="S247" s="9">
        <f>8%*G247</f>
        <v>600000</v>
      </c>
    </row>
    <row r="248" spans="1:19" x14ac:dyDescent="0.3">
      <c r="A248">
        <v>246</v>
      </c>
      <c r="B248" s="10" t="s">
        <v>531</v>
      </c>
      <c r="C248" s="10" t="s">
        <v>532</v>
      </c>
      <c r="D248" s="11" t="str">
        <f>VLOOKUP(MID(B248,6,1),'Tabel Acuan'!$A$10:$B$17,2,0)</f>
        <v>Finance</v>
      </c>
      <c r="E248" t="str">
        <f>VLOOKUP(MID(B248,8,2),'Tabel Acuan'!$A$1:$B$6,2,0)</f>
        <v>Manager</v>
      </c>
      <c r="F248" s="12">
        <v>43613</v>
      </c>
      <c r="G248" s="8" cm="1">
        <f t="array" ref="G248">INDEX('Tabel Acuan'!$F$4:$F$39,
MATCH(1,('Tabel Acuan'!$D$4:$D$39='Data Gaji Pegawai'!D248)*('Tabel Acuan'!$E$4:$E$39='Data Gaji Pegawai'!E248),0))</f>
        <v>13500000</v>
      </c>
      <c r="H248">
        <f>I248/100000</f>
        <v>45</v>
      </c>
      <c r="I248" s="14">
        <v>4500000</v>
      </c>
      <c r="J248">
        <f ca="1">INT((TODAY()-F248)/30.417)</f>
        <v>85</v>
      </c>
      <c r="K248" s="13">
        <f t="shared" ca="1" si="3"/>
        <v>0</v>
      </c>
      <c r="L248" s="8">
        <f>G248*3.7%</f>
        <v>499500.00000000006</v>
      </c>
      <c r="M248" s="8">
        <f>G248*2%</f>
        <v>270000</v>
      </c>
      <c r="N248" s="8">
        <f>G248*4%</f>
        <v>540000</v>
      </c>
      <c r="O248" s="8">
        <f>G248*1%</f>
        <v>135000</v>
      </c>
      <c r="P248">
        <v>6</v>
      </c>
      <c r="Q248" s="13">
        <f>P248*200000</f>
        <v>1200000</v>
      </c>
      <c r="R248" s="8">
        <v>2000000</v>
      </c>
      <c r="S248" s="9">
        <f>8%*G248</f>
        <v>1080000</v>
      </c>
    </row>
    <row r="249" spans="1:19" x14ac:dyDescent="0.3">
      <c r="A249">
        <v>247</v>
      </c>
      <c r="B249" s="10" t="s">
        <v>533</v>
      </c>
      <c r="C249" s="10" t="s">
        <v>534</v>
      </c>
      <c r="D249" s="11" t="str">
        <f>VLOOKUP(MID(B249,6,1),'Tabel Acuan'!$A$10:$B$17,2,0)</f>
        <v>Information Technology (IT)</v>
      </c>
      <c r="E249" t="str">
        <f>VLOOKUP(MID(B249,8,2),'Tabel Acuan'!$A$1:$B$6,2,0)</f>
        <v>Staff</v>
      </c>
      <c r="F249" s="12">
        <v>43978</v>
      </c>
      <c r="G249" s="8" cm="1">
        <f t="array" ref="G249">INDEX('Tabel Acuan'!$F$4:$F$39,
MATCH(1,('Tabel Acuan'!$D$4:$D$39='Data Gaji Pegawai'!D249)*('Tabel Acuan'!$E$4:$E$39='Data Gaji Pegawai'!E249),0))</f>
        <v>6000000</v>
      </c>
      <c r="H249">
        <f>I249/100000</f>
        <v>7</v>
      </c>
      <c r="I249" s="14">
        <v>700000</v>
      </c>
      <c r="J249">
        <f ca="1">INT((TODAY()-F249)/30.417)</f>
        <v>73</v>
      </c>
      <c r="K249" s="13">
        <f t="shared" ca="1" si="3"/>
        <v>0</v>
      </c>
      <c r="L249" s="8">
        <f>G249*3.7%</f>
        <v>222000.00000000003</v>
      </c>
      <c r="M249" s="8">
        <f>G249*2%</f>
        <v>120000</v>
      </c>
      <c r="N249" s="8">
        <f>G249*4%</f>
        <v>240000</v>
      </c>
      <c r="O249" s="8">
        <f>G249*1%</f>
        <v>60000</v>
      </c>
      <c r="P249">
        <v>12</v>
      </c>
      <c r="Q249" s="13">
        <f>P249*200000</f>
        <v>2400000</v>
      </c>
      <c r="R249" s="8">
        <v>1500000</v>
      </c>
      <c r="S249" s="9">
        <f>8%*G249</f>
        <v>480000</v>
      </c>
    </row>
    <row r="250" spans="1:19" x14ac:dyDescent="0.3">
      <c r="A250">
        <v>248</v>
      </c>
      <c r="B250" s="10" t="s">
        <v>535</v>
      </c>
      <c r="C250" s="10" t="s">
        <v>536</v>
      </c>
      <c r="D250" s="11" t="str">
        <f>VLOOKUP(MID(B250,6,1),'Tabel Acuan'!$A$10:$B$17,2,0)</f>
        <v>Operations</v>
      </c>
      <c r="E250" t="str">
        <f>VLOOKUP(MID(B250,8,2),'Tabel Acuan'!$A$1:$B$6,2,0)</f>
        <v>Supervisor</v>
      </c>
      <c r="F250" s="12">
        <v>43978</v>
      </c>
      <c r="G250" s="8" cm="1">
        <f t="array" ref="G250">INDEX('Tabel Acuan'!$F$4:$F$39,
MATCH(1,('Tabel Acuan'!$D$4:$D$39='Data Gaji Pegawai'!D250)*('Tabel Acuan'!$E$4:$E$39='Data Gaji Pegawai'!E250),0))</f>
        <v>7700000</v>
      </c>
      <c r="H250">
        <f>I250/100000</f>
        <v>45</v>
      </c>
      <c r="I250" s="14">
        <v>4500000</v>
      </c>
      <c r="J250">
        <f ca="1">INT((TODAY()-F250)/30.417)</f>
        <v>73</v>
      </c>
      <c r="K250" s="13">
        <f t="shared" ca="1" si="3"/>
        <v>0</v>
      </c>
      <c r="L250" s="8">
        <f>G250*3.7%</f>
        <v>284900.00000000006</v>
      </c>
      <c r="M250" s="8">
        <f>G250*2%</f>
        <v>154000</v>
      </c>
      <c r="N250" s="8">
        <f>G250*4%</f>
        <v>308000</v>
      </c>
      <c r="O250" s="8">
        <f>G250*1%</f>
        <v>77000</v>
      </c>
      <c r="P250">
        <v>2</v>
      </c>
      <c r="Q250" s="13">
        <f>P250*200000</f>
        <v>400000</v>
      </c>
      <c r="R250" s="8">
        <v>0</v>
      </c>
      <c r="S250" s="9">
        <f>8%*G250</f>
        <v>616000</v>
      </c>
    </row>
    <row r="251" spans="1:19" x14ac:dyDescent="0.3">
      <c r="A251">
        <v>249</v>
      </c>
      <c r="B251" s="10" t="s">
        <v>537</v>
      </c>
      <c r="C251" s="10" t="s">
        <v>538</v>
      </c>
      <c r="D251" s="11" t="str">
        <f>VLOOKUP(MID(B251,6,1),'Tabel Acuan'!$A$10:$B$17,2,0)</f>
        <v>Sales</v>
      </c>
      <c r="E251" t="str">
        <f>VLOOKUP(MID(B251,8,2),'Tabel Acuan'!$A$1:$B$6,2,0)</f>
        <v>Staff</v>
      </c>
      <c r="F251" s="12">
        <v>44665</v>
      </c>
      <c r="G251" s="8" cm="1">
        <f t="array" ref="G251">INDEX('Tabel Acuan'!$F$4:$F$39,
MATCH(1,('Tabel Acuan'!$D$4:$D$39='Data Gaji Pegawai'!D251)*('Tabel Acuan'!$E$4:$E$39='Data Gaji Pegawai'!E251),0))</f>
        <v>5000000</v>
      </c>
      <c r="H251">
        <f>I251/100000</f>
        <v>52</v>
      </c>
      <c r="I251" s="14">
        <v>5200000</v>
      </c>
      <c r="J251">
        <f ca="1">INT((TODAY()-F251)/30.417)</f>
        <v>50</v>
      </c>
      <c r="K251" s="13">
        <f t="shared" ca="1" si="3"/>
        <v>0</v>
      </c>
      <c r="L251" s="8">
        <f>G251*3.7%</f>
        <v>185000.00000000003</v>
      </c>
      <c r="M251" s="8">
        <f>G251*2%</f>
        <v>100000</v>
      </c>
      <c r="N251" s="8">
        <f>G251*4%</f>
        <v>200000</v>
      </c>
      <c r="O251" s="8">
        <f>G251*1%</f>
        <v>50000</v>
      </c>
      <c r="P251">
        <v>8</v>
      </c>
      <c r="Q251" s="13">
        <f>P251*200000</f>
        <v>1600000</v>
      </c>
      <c r="R251" s="8">
        <v>4000000</v>
      </c>
      <c r="S251" s="9">
        <f>8%*G251</f>
        <v>400000</v>
      </c>
    </row>
    <row r="252" spans="1:19" x14ac:dyDescent="0.3">
      <c r="A252">
        <v>250</v>
      </c>
      <c r="B252" s="10" t="s">
        <v>539</v>
      </c>
      <c r="C252" s="10" t="s">
        <v>540</v>
      </c>
      <c r="D252" s="11" t="str">
        <f>VLOOKUP(MID(B252,6,1),'Tabel Acuan'!$A$10:$B$17,2,0)</f>
        <v>Finance</v>
      </c>
      <c r="E252" t="str">
        <f>VLOOKUP(MID(B252,8,2),'Tabel Acuan'!$A$1:$B$6,2,0)</f>
        <v>Staff</v>
      </c>
      <c r="F252" s="12">
        <v>43588</v>
      </c>
      <c r="G252" s="8" cm="1">
        <f t="array" ref="G252">INDEX('Tabel Acuan'!$F$4:$F$39,
MATCH(1,('Tabel Acuan'!$D$4:$D$39='Data Gaji Pegawai'!D252)*('Tabel Acuan'!$E$4:$E$39='Data Gaji Pegawai'!E252),0))</f>
        <v>5500000</v>
      </c>
      <c r="H252">
        <f>I252/100000</f>
        <v>15</v>
      </c>
      <c r="I252" s="14">
        <v>1500000</v>
      </c>
      <c r="J252">
        <f ca="1">INT((TODAY()-F252)/30.417)</f>
        <v>86</v>
      </c>
      <c r="K252" s="13">
        <f t="shared" ca="1" si="3"/>
        <v>0</v>
      </c>
      <c r="L252" s="8">
        <f>G252*3.7%</f>
        <v>203500.00000000003</v>
      </c>
      <c r="M252" s="8">
        <f>G252*2%</f>
        <v>110000</v>
      </c>
      <c r="N252" s="8">
        <f>G252*4%</f>
        <v>220000</v>
      </c>
      <c r="O252" s="8">
        <f>G252*1%</f>
        <v>55000</v>
      </c>
      <c r="P252">
        <v>1</v>
      </c>
      <c r="Q252" s="13">
        <f>P252*200000</f>
        <v>200000</v>
      </c>
      <c r="R252" s="8">
        <v>2500000</v>
      </c>
      <c r="S252" s="9">
        <f>8%*G252</f>
        <v>440000</v>
      </c>
    </row>
    <row r="253" spans="1:19" x14ac:dyDescent="0.3">
      <c r="A253">
        <v>251</v>
      </c>
      <c r="B253" s="10" t="s">
        <v>541</v>
      </c>
      <c r="C253" s="10" t="s">
        <v>542</v>
      </c>
      <c r="D253" s="11" t="str">
        <f>VLOOKUP(MID(B253,6,1),'Tabel Acuan'!$A$10:$B$17,2,0)</f>
        <v>Sales</v>
      </c>
      <c r="E253" t="str">
        <f>VLOOKUP(MID(B253,8,2),'Tabel Acuan'!$A$1:$B$6,2,0)</f>
        <v>Staff</v>
      </c>
      <c r="F253" s="12">
        <v>43270</v>
      </c>
      <c r="G253" s="8" cm="1">
        <f t="array" ref="G253">INDEX('Tabel Acuan'!$F$4:$F$39,
MATCH(1,('Tabel Acuan'!$D$4:$D$39='Data Gaji Pegawai'!D253)*('Tabel Acuan'!$E$4:$E$39='Data Gaji Pegawai'!E253),0))</f>
        <v>5000000</v>
      </c>
      <c r="H253">
        <f>I253/100000</f>
        <v>45</v>
      </c>
      <c r="I253" s="14">
        <v>4500000</v>
      </c>
      <c r="J253">
        <f ca="1">INT((TODAY()-F253)/30.417)</f>
        <v>96</v>
      </c>
      <c r="K253" s="13">
        <f t="shared" ca="1" si="3"/>
        <v>0</v>
      </c>
      <c r="L253" s="8">
        <f>G253*3.7%</f>
        <v>185000.00000000003</v>
      </c>
      <c r="M253" s="8">
        <f>G253*2%</f>
        <v>100000</v>
      </c>
      <c r="N253" s="8">
        <f>G253*4%</f>
        <v>200000</v>
      </c>
      <c r="O253" s="8">
        <f>G253*1%</f>
        <v>50000</v>
      </c>
      <c r="P253">
        <v>15</v>
      </c>
      <c r="Q253" s="13">
        <f>P253*200000</f>
        <v>3000000</v>
      </c>
      <c r="R253" s="8">
        <v>0</v>
      </c>
      <c r="S253" s="9">
        <f>8%*G253</f>
        <v>400000</v>
      </c>
    </row>
    <row r="254" spans="1:19" x14ac:dyDescent="0.3">
      <c r="A254">
        <v>252</v>
      </c>
      <c r="B254" s="10" t="s">
        <v>543</v>
      </c>
      <c r="C254" s="10" t="s">
        <v>544</v>
      </c>
      <c r="D254" s="11" t="str">
        <f>VLOOKUP(MID(B254,6,1),'Tabel Acuan'!$A$10:$B$17,2,0)</f>
        <v>Human Resources (HR)</v>
      </c>
      <c r="E254" t="str">
        <f>VLOOKUP(MID(B254,8,2),'Tabel Acuan'!$A$1:$B$6,2,0)</f>
        <v>Manager</v>
      </c>
      <c r="F254" s="12">
        <v>43070</v>
      </c>
      <c r="G254" s="8" cm="1">
        <f t="array" ref="G254">INDEX('Tabel Acuan'!$F$4:$F$39,
MATCH(1,('Tabel Acuan'!$D$4:$D$39='Data Gaji Pegawai'!D254)*('Tabel Acuan'!$E$4:$E$39='Data Gaji Pegawai'!E254),0))</f>
        <v>12000000</v>
      </c>
      <c r="H254">
        <f>I254/100000</f>
        <v>59</v>
      </c>
      <c r="I254" s="14">
        <v>5900000</v>
      </c>
      <c r="J254">
        <f ca="1">INT((TODAY()-F254)/30.417)</f>
        <v>103</v>
      </c>
      <c r="K254" s="13">
        <f t="shared" ca="1" si="3"/>
        <v>0</v>
      </c>
      <c r="L254" s="8">
        <f>G254*3.7%</f>
        <v>444000.00000000006</v>
      </c>
      <c r="M254" s="8">
        <f>G254*2%</f>
        <v>240000</v>
      </c>
      <c r="N254" s="8">
        <f>G254*4%</f>
        <v>480000</v>
      </c>
      <c r="O254" s="8">
        <f>G254*1%</f>
        <v>120000</v>
      </c>
      <c r="P254">
        <v>15</v>
      </c>
      <c r="Q254" s="13">
        <f>P254*200000</f>
        <v>3000000</v>
      </c>
      <c r="R254" s="8">
        <v>750000</v>
      </c>
      <c r="S254" s="9">
        <f>8%*G254</f>
        <v>960000</v>
      </c>
    </row>
    <row r="255" spans="1:19" x14ac:dyDescent="0.3">
      <c r="A255">
        <v>253</v>
      </c>
      <c r="B255" s="10" t="s">
        <v>545</v>
      </c>
      <c r="C255" s="10" t="s">
        <v>546</v>
      </c>
      <c r="D255" s="11" t="str">
        <f>VLOOKUP(MID(B255,6,1),'Tabel Acuan'!$A$10:$B$17,2,0)</f>
        <v>Logistics</v>
      </c>
      <c r="E255" t="str">
        <f>VLOOKUP(MID(B255,8,2),'Tabel Acuan'!$A$1:$B$6,2,0)</f>
        <v>Staff</v>
      </c>
      <c r="F255" s="12">
        <v>43511</v>
      </c>
      <c r="G255" s="8" cm="1">
        <f t="array" ref="G255">INDEX('Tabel Acuan'!$F$4:$F$39,
MATCH(1,('Tabel Acuan'!$D$4:$D$39='Data Gaji Pegawai'!D255)*('Tabel Acuan'!$E$4:$E$39='Data Gaji Pegawai'!E255),0))</f>
        <v>5200000</v>
      </c>
      <c r="H255">
        <f>I255/100000</f>
        <v>41</v>
      </c>
      <c r="I255" s="14">
        <v>4100000</v>
      </c>
      <c r="J255">
        <f ca="1">INT((TODAY()-F255)/30.417)</f>
        <v>88</v>
      </c>
      <c r="K255" s="13">
        <f t="shared" ca="1" si="3"/>
        <v>0</v>
      </c>
      <c r="L255" s="8">
        <f>G255*3.7%</f>
        <v>192400.00000000003</v>
      </c>
      <c r="M255" s="8">
        <f>G255*2%</f>
        <v>104000</v>
      </c>
      <c r="N255" s="8">
        <f>G255*4%</f>
        <v>208000</v>
      </c>
      <c r="O255" s="8">
        <f>G255*1%</f>
        <v>52000</v>
      </c>
      <c r="P255">
        <v>7</v>
      </c>
      <c r="Q255" s="13">
        <f>P255*200000</f>
        <v>1400000</v>
      </c>
      <c r="R255" s="8">
        <v>4000000</v>
      </c>
      <c r="S255" s="9">
        <f>8%*G255</f>
        <v>416000</v>
      </c>
    </row>
    <row r="256" spans="1:19" x14ac:dyDescent="0.3">
      <c r="A256">
        <v>254</v>
      </c>
      <c r="B256" s="10" t="s">
        <v>547</v>
      </c>
      <c r="C256" s="10" t="s">
        <v>548</v>
      </c>
      <c r="D256" s="11" t="str">
        <f>VLOOKUP(MID(B256,6,1),'Tabel Acuan'!$A$10:$B$17,2,0)</f>
        <v>Finance</v>
      </c>
      <c r="E256" t="str">
        <f>VLOOKUP(MID(B256,8,2),'Tabel Acuan'!$A$1:$B$6,2,0)</f>
        <v>Senior Staff</v>
      </c>
      <c r="F256" s="12">
        <v>42208</v>
      </c>
      <c r="G256" s="8" cm="1">
        <f t="array" ref="G256">INDEX('Tabel Acuan'!$F$4:$F$39,
MATCH(1,('Tabel Acuan'!$D$4:$D$39='Data Gaji Pegawai'!D256)*('Tabel Acuan'!$E$4:$E$39='Data Gaji Pegawai'!E256),0))</f>
        <v>6600000</v>
      </c>
      <c r="H256">
        <f>I256/100000</f>
        <v>50</v>
      </c>
      <c r="I256" s="14">
        <v>5000000</v>
      </c>
      <c r="J256">
        <f ca="1">INT((TODAY()-F256)/30.417)</f>
        <v>131</v>
      </c>
      <c r="K256" s="13">
        <f t="shared" ca="1" si="3"/>
        <v>0</v>
      </c>
      <c r="L256" s="8">
        <f>G256*3.7%</f>
        <v>244200.00000000003</v>
      </c>
      <c r="M256" s="8">
        <f>G256*2%</f>
        <v>132000</v>
      </c>
      <c r="N256" s="8">
        <f>G256*4%</f>
        <v>264000</v>
      </c>
      <c r="O256" s="8">
        <f>G256*1%</f>
        <v>66000</v>
      </c>
      <c r="P256">
        <v>15</v>
      </c>
      <c r="Q256" s="13">
        <f>P256*200000</f>
        <v>3000000</v>
      </c>
      <c r="R256" s="8">
        <v>0</v>
      </c>
      <c r="S256" s="9">
        <f>8%*G256</f>
        <v>528000</v>
      </c>
    </row>
    <row r="257" spans="1:19" x14ac:dyDescent="0.3">
      <c r="A257">
        <v>255</v>
      </c>
      <c r="B257" s="10" t="s">
        <v>549</v>
      </c>
      <c r="C257" s="10" t="s">
        <v>550</v>
      </c>
      <c r="D257" s="11" t="str">
        <f>VLOOKUP(MID(B257,6,1),'Tabel Acuan'!$A$10:$B$17,2,0)</f>
        <v>Human Resources (HR)</v>
      </c>
      <c r="E257" t="str">
        <f>VLOOKUP(MID(B257,8,2),'Tabel Acuan'!$A$1:$B$6,2,0)</f>
        <v>Staff</v>
      </c>
      <c r="F257" s="12">
        <v>43520</v>
      </c>
      <c r="G257" s="8" cm="1">
        <f t="array" ref="G257">INDEX('Tabel Acuan'!$F$4:$F$39,
MATCH(1,('Tabel Acuan'!$D$4:$D$39='Data Gaji Pegawai'!D257)*('Tabel Acuan'!$E$4:$E$39='Data Gaji Pegawai'!E257),0))</f>
        <v>5000000</v>
      </c>
      <c r="H257">
        <f>I257/100000</f>
        <v>59</v>
      </c>
      <c r="I257" s="14">
        <v>5900000</v>
      </c>
      <c r="J257">
        <f ca="1">INT((TODAY()-F257)/30.417)</f>
        <v>88</v>
      </c>
      <c r="K257" s="13">
        <f t="shared" ca="1" si="3"/>
        <v>0</v>
      </c>
      <c r="L257" s="8">
        <f>G257*3.7%</f>
        <v>185000.00000000003</v>
      </c>
      <c r="M257" s="8">
        <f>G257*2%</f>
        <v>100000</v>
      </c>
      <c r="N257" s="8">
        <f>G257*4%</f>
        <v>200000</v>
      </c>
      <c r="O257" s="8">
        <f>G257*1%</f>
        <v>50000</v>
      </c>
      <c r="P257">
        <v>10</v>
      </c>
      <c r="Q257" s="13">
        <f>P257*200000</f>
        <v>2000000</v>
      </c>
      <c r="R257" s="8">
        <v>0</v>
      </c>
      <c r="S257" s="9">
        <f>8%*G257</f>
        <v>400000</v>
      </c>
    </row>
    <row r="258" spans="1:19" x14ac:dyDescent="0.3">
      <c r="A258">
        <v>256</v>
      </c>
      <c r="B258" s="10" t="s">
        <v>551</v>
      </c>
      <c r="C258" s="10" t="s">
        <v>552</v>
      </c>
      <c r="D258" s="11" t="str">
        <f>VLOOKUP(MID(B258,6,1),'Tabel Acuan'!$A$10:$B$17,2,0)</f>
        <v>Marketing</v>
      </c>
      <c r="E258" t="str">
        <f>VLOOKUP(MID(B258,8,2),'Tabel Acuan'!$A$1:$B$6,2,0)</f>
        <v>Senior Staff</v>
      </c>
      <c r="F258" s="12">
        <v>45897</v>
      </c>
      <c r="G258" s="8" cm="1">
        <f t="array" ref="G258">INDEX('Tabel Acuan'!$F$4:$F$39,
MATCH(1,('Tabel Acuan'!$D$4:$D$39='Data Gaji Pegawai'!D258)*('Tabel Acuan'!$E$4:$E$39='Data Gaji Pegawai'!E258),0))</f>
        <v>6400000</v>
      </c>
      <c r="H258">
        <f>I258/100000</f>
        <v>17</v>
      </c>
      <c r="I258" s="14">
        <v>1700000</v>
      </c>
      <c r="J258">
        <f ca="1">INT((TODAY()-F258)/30.417)</f>
        <v>10</v>
      </c>
      <c r="K258" s="13">
        <f t="shared" ca="1" si="3"/>
        <v>0</v>
      </c>
      <c r="L258" s="8">
        <f>G258*3.7%</f>
        <v>236800.00000000003</v>
      </c>
      <c r="M258" s="8">
        <f>G258*2%</f>
        <v>128000</v>
      </c>
      <c r="N258" s="8">
        <f>G258*4%</f>
        <v>256000</v>
      </c>
      <c r="O258" s="8">
        <f>G258*1%</f>
        <v>64000</v>
      </c>
      <c r="P258">
        <v>6</v>
      </c>
      <c r="Q258" s="13">
        <f>P258*200000</f>
        <v>1200000</v>
      </c>
      <c r="R258" s="8">
        <v>1250000</v>
      </c>
      <c r="S258" s="9">
        <f>8%*G258</f>
        <v>512000</v>
      </c>
    </row>
    <row r="259" spans="1:19" x14ac:dyDescent="0.3">
      <c r="A259">
        <v>257</v>
      </c>
      <c r="B259" s="10" t="s">
        <v>553</v>
      </c>
      <c r="C259" s="10" t="s">
        <v>554</v>
      </c>
      <c r="D259" s="11" t="str">
        <f>VLOOKUP(MID(B259,6,1),'Tabel Acuan'!$A$10:$B$17,2,0)</f>
        <v>Sales</v>
      </c>
      <c r="E259" t="str">
        <f>VLOOKUP(MID(B259,8,2),'Tabel Acuan'!$A$1:$B$6,2,0)</f>
        <v>Senior Staff</v>
      </c>
      <c r="F259" s="12">
        <v>42831</v>
      </c>
      <c r="G259" s="8" cm="1">
        <f t="array" ref="G259">INDEX('Tabel Acuan'!$F$4:$F$39,
MATCH(1,('Tabel Acuan'!$D$4:$D$39='Data Gaji Pegawai'!D259)*('Tabel Acuan'!$E$4:$E$39='Data Gaji Pegawai'!E259),0))</f>
        <v>6000000</v>
      </c>
      <c r="H259">
        <f>I259/100000</f>
        <v>0</v>
      </c>
      <c r="I259" s="14">
        <v>0</v>
      </c>
      <c r="J259">
        <f ca="1">INT((TODAY()-F259)/30.417)</f>
        <v>110</v>
      </c>
      <c r="K259" s="13">
        <f t="shared" ca="1" si="3"/>
        <v>0</v>
      </c>
      <c r="L259" s="8">
        <f>G259*3.7%</f>
        <v>222000.00000000003</v>
      </c>
      <c r="M259" s="8">
        <f>G259*2%</f>
        <v>120000</v>
      </c>
      <c r="N259" s="8">
        <f>G259*4%</f>
        <v>240000</v>
      </c>
      <c r="O259" s="8">
        <f>G259*1%</f>
        <v>60000</v>
      </c>
      <c r="P259">
        <v>10</v>
      </c>
      <c r="Q259" s="13">
        <f>P259*200000</f>
        <v>2000000</v>
      </c>
      <c r="R259" s="8">
        <v>3000000</v>
      </c>
      <c r="S259" s="9">
        <f>8%*G259</f>
        <v>480000</v>
      </c>
    </row>
    <row r="260" spans="1:19" x14ac:dyDescent="0.3">
      <c r="A260">
        <v>258</v>
      </c>
      <c r="B260" s="10" t="s">
        <v>555</v>
      </c>
      <c r="C260" s="10" t="s">
        <v>556</v>
      </c>
      <c r="D260" s="11" t="str">
        <f>VLOOKUP(MID(B260,6,1),'Tabel Acuan'!$A$10:$B$17,2,0)</f>
        <v>Operations</v>
      </c>
      <c r="E260" t="str">
        <f>VLOOKUP(MID(B260,8,2),'Tabel Acuan'!$A$1:$B$6,2,0)</f>
        <v>Staff</v>
      </c>
      <c r="F260" s="12">
        <v>45865</v>
      </c>
      <c r="G260" s="8" cm="1">
        <f t="array" ref="G260">INDEX('Tabel Acuan'!$F$4:$F$39,
MATCH(1,('Tabel Acuan'!$D$4:$D$39='Data Gaji Pegawai'!D260)*('Tabel Acuan'!$E$4:$E$39='Data Gaji Pegawai'!E260),0))</f>
        <v>5200000</v>
      </c>
      <c r="H260">
        <f>I260/100000</f>
        <v>52</v>
      </c>
      <c r="I260" s="14">
        <v>5200000</v>
      </c>
      <c r="J260">
        <f ca="1">INT((TODAY()-F260)/30.417)</f>
        <v>11</v>
      </c>
      <c r="K260" s="13">
        <f t="shared" ref="K260:K323" ca="1" si="4">IF(MONTH(TODAY())=12, IF(J260&gt;=12,G260,G260*(J260/12)), 0)</f>
        <v>0</v>
      </c>
      <c r="L260" s="8">
        <f>G260*3.7%</f>
        <v>192400.00000000003</v>
      </c>
      <c r="M260" s="8">
        <f>G260*2%</f>
        <v>104000</v>
      </c>
      <c r="N260" s="8">
        <f>G260*4%</f>
        <v>208000</v>
      </c>
      <c r="O260" s="8">
        <f>G260*1%</f>
        <v>52000</v>
      </c>
      <c r="P260">
        <v>13</v>
      </c>
      <c r="Q260" s="13">
        <f>P260*200000</f>
        <v>2600000</v>
      </c>
      <c r="R260" s="8">
        <v>300000</v>
      </c>
      <c r="S260" s="9">
        <f>8%*G260</f>
        <v>416000</v>
      </c>
    </row>
    <row r="261" spans="1:19" x14ac:dyDescent="0.3">
      <c r="A261">
        <v>259</v>
      </c>
      <c r="B261" s="10" t="s">
        <v>557</v>
      </c>
      <c r="C261" s="10" t="s">
        <v>558</v>
      </c>
      <c r="D261" s="11" t="str">
        <f>VLOOKUP(MID(B261,6,1),'Tabel Acuan'!$A$10:$B$17,2,0)</f>
        <v>Sales</v>
      </c>
      <c r="E261" t="str">
        <f>VLOOKUP(MID(B261,8,2),'Tabel Acuan'!$A$1:$B$6,2,0)</f>
        <v>Staff</v>
      </c>
      <c r="F261" s="12">
        <v>44362</v>
      </c>
      <c r="G261" s="8" cm="1">
        <f t="array" ref="G261">INDEX('Tabel Acuan'!$F$4:$F$39,
MATCH(1,('Tabel Acuan'!$D$4:$D$39='Data Gaji Pegawai'!D261)*('Tabel Acuan'!$E$4:$E$39='Data Gaji Pegawai'!E261),0))</f>
        <v>5000000</v>
      </c>
      <c r="H261">
        <f>I261/100000</f>
        <v>59</v>
      </c>
      <c r="I261" s="14">
        <v>5900000</v>
      </c>
      <c r="J261">
        <f ca="1">INT((TODAY()-F261)/30.417)</f>
        <v>60</v>
      </c>
      <c r="K261" s="13">
        <f t="shared" ca="1" si="4"/>
        <v>0</v>
      </c>
      <c r="L261" s="8">
        <f>G261*3.7%</f>
        <v>185000.00000000003</v>
      </c>
      <c r="M261" s="8">
        <f>G261*2%</f>
        <v>100000</v>
      </c>
      <c r="N261" s="8">
        <f>G261*4%</f>
        <v>200000</v>
      </c>
      <c r="O261" s="8">
        <f>G261*1%</f>
        <v>50000</v>
      </c>
      <c r="P261">
        <v>7</v>
      </c>
      <c r="Q261" s="13">
        <f>P261*200000</f>
        <v>1400000</v>
      </c>
      <c r="R261" s="8">
        <v>0</v>
      </c>
      <c r="S261" s="9">
        <f>8%*G261</f>
        <v>400000</v>
      </c>
    </row>
    <row r="262" spans="1:19" x14ac:dyDescent="0.3">
      <c r="A262">
        <v>260</v>
      </c>
      <c r="B262" s="10" t="s">
        <v>559</v>
      </c>
      <c r="C262" s="10" t="s">
        <v>560</v>
      </c>
      <c r="D262" s="11" t="str">
        <f>VLOOKUP(MID(B262,6,1),'Tabel Acuan'!$A$10:$B$17,2,0)</f>
        <v>Finance</v>
      </c>
      <c r="E262" t="str">
        <f>VLOOKUP(MID(B262,8,2),'Tabel Acuan'!$A$1:$B$6,2,0)</f>
        <v>Senior Staff</v>
      </c>
      <c r="F262" s="12">
        <v>44351</v>
      </c>
      <c r="G262" s="8" cm="1">
        <f t="array" ref="G262">INDEX('Tabel Acuan'!$F$4:$F$39,
MATCH(1,('Tabel Acuan'!$D$4:$D$39='Data Gaji Pegawai'!D262)*('Tabel Acuan'!$E$4:$E$39='Data Gaji Pegawai'!E262),0))</f>
        <v>6600000</v>
      </c>
      <c r="H262">
        <f>I262/100000</f>
        <v>37</v>
      </c>
      <c r="I262" s="14">
        <v>3700000</v>
      </c>
      <c r="J262">
        <f ca="1">INT((TODAY()-F262)/30.417)</f>
        <v>60</v>
      </c>
      <c r="K262" s="13">
        <f t="shared" ca="1" si="4"/>
        <v>0</v>
      </c>
      <c r="L262" s="8">
        <f>G262*3.7%</f>
        <v>244200.00000000003</v>
      </c>
      <c r="M262" s="8">
        <f>G262*2%</f>
        <v>132000</v>
      </c>
      <c r="N262" s="8">
        <f>G262*4%</f>
        <v>264000</v>
      </c>
      <c r="O262" s="8">
        <f>G262*1%</f>
        <v>66000</v>
      </c>
      <c r="P262">
        <v>0</v>
      </c>
      <c r="Q262" s="13">
        <f>P262*200000</f>
        <v>0</v>
      </c>
      <c r="R262" s="8">
        <v>0</v>
      </c>
      <c r="S262" s="9">
        <f>8%*G262</f>
        <v>528000</v>
      </c>
    </row>
    <row r="263" spans="1:19" x14ac:dyDescent="0.3">
      <c r="A263">
        <v>261</v>
      </c>
      <c r="B263" s="10" t="s">
        <v>561</v>
      </c>
      <c r="C263" s="10" t="s">
        <v>562</v>
      </c>
      <c r="D263" s="11" t="str">
        <f>VLOOKUP(MID(B263,6,1),'Tabel Acuan'!$A$10:$B$17,2,0)</f>
        <v>Sales</v>
      </c>
      <c r="E263" t="str">
        <f>VLOOKUP(MID(B263,8,2),'Tabel Acuan'!$A$1:$B$6,2,0)</f>
        <v>Staff</v>
      </c>
      <c r="F263" s="12">
        <v>44069</v>
      </c>
      <c r="G263" s="8" cm="1">
        <f t="array" ref="G263">INDEX('Tabel Acuan'!$F$4:$F$39,
MATCH(1,('Tabel Acuan'!$D$4:$D$39='Data Gaji Pegawai'!D263)*('Tabel Acuan'!$E$4:$E$39='Data Gaji Pegawai'!E263),0))</f>
        <v>5000000</v>
      </c>
      <c r="H263">
        <f>I263/100000</f>
        <v>19</v>
      </c>
      <c r="I263" s="14">
        <v>1900000</v>
      </c>
      <c r="J263">
        <f ca="1">INT((TODAY()-F263)/30.417)</f>
        <v>70</v>
      </c>
      <c r="K263" s="13">
        <f t="shared" ca="1" si="4"/>
        <v>0</v>
      </c>
      <c r="L263" s="8">
        <f>G263*3.7%</f>
        <v>185000.00000000003</v>
      </c>
      <c r="M263" s="8">
        <f>G263*2%</f>
        <v>100000</v>
      </c>
      <c r="N263" s="8">
        <f>G263*4%</f>
        <v>200000</v>
      </c>
      <c r="O263" s="8">
        <f>G263*1%</f>
        <v>50000</v>
      </c>
      <c r="P263">
        <v>5</v>
      </c>
      <c r="Q263" s="13">
        <f>P263*200000</f>
        <v>1000000</v>
      </c>
      <c r="R263" s="8">
        <v>2500000</v>
      </c>
      <c r="S263" s="9">
        <f>8%*G263</f>
        <v>400000</v>
      </c>
    </row>
    <row r="264" spans="1:19" x14ac:dyDescent="0.3">
      <c r="A264">
        <v>262</v>
      </c>
      <c r="B264" s="10" t="s">
        <v>563</v>
      </c>
      <c r="C264" s="10" t="s">
        <v>564</v>
      </c>
      <c r="D264" s="11" t="str">
        <f>VLOOKUP(MID(B264,6,1),'Tabel Acuan'!$A$10:$B$17,2,0)</f>
        <v>Sales</v>
      </c>
      <c r="E264" t="str">
        <f>VLOOKUP(MID(B264,8,2),'Tabel Acuan'!$A$1:$B$6,2,0)</f>
        <v>Staff</v>
      </c>
      <c r="F264" s="12">
        <v>43780</v>
      </c>
      <c r="G264" s="8" cm="1">
        <f t="array" ref="G264">INDEX('Tabel Acuan'!$F$4:$F$39,
MATCH(1,('Tabel Acuan'!$D$4:$D$39='Data Gaji Pegawai'!D264)*('Tabel Acuan'!$E$4:$E$39='Data Gaji Pegawai'!E264),0))</f>
        <v>5000000</v>
      </c>
      <c r="H264">
        <f>I264/100000</f>
        <v>14</v>
      </c>
      <c r="I264" s="14">
        <v>1400000</v>
      </c>
      <c r="J264">
        <f ca="1">INT((TODAY()-F264)/30.417)</f>
        <v>79</v>
      </c>
      <c r="K264" s="13">
        <f t="shared" ca="1" si="4"/>
        <v>0</v>
      </c>
      <c r="L264" s="8">
        <f>G264*3.7%</f>
        <v>185000.00000000003</v>
      </c>
      <c r="M264" s="8">
        <f>G264*2%</f>
        <v>100000</v>
      </c>
      <c r="N264" s="8">
        <f>G264*4%</f>
        <v>200000</v>
      </c>
      <c r="O264" s="8">
        <f>G264*1%</f>
        <v>50000</v>
      </c>
      <c r="P264">
        <v>7</v>
      </c>
      <c r="Q264" s="13">
        <f>P264*200000</f>
        <v>1400000</v>
      </c>
      <c r="R264" s="8">
        <v>2000000</v>
      </c>
      <c r="S264" s="9">
        <f>8%*G264</f>
        <v>400000</v>
      </c>
    </row>
    <row r="265" spans="1:19" x14ac:dyDescent="0.3">
      <c r="A265">
        <v>263</v>
      </c>
      <c r="B265" s="10" t="s">
        <v>565</v>
      </c>
      <c r="C265" s="10" t="s">
        <v>566</v>
      </c>
      <c r="D265" s="11" t="str">
        <f>VLOOKUP(MID(B265,6,1),'Tabel Acuan'!$A$10:$B$17,2,0)</f>
        <v>Information Technology (IT)</v>
      </c>
      <c r="E265" t="str">
        <f>VLOOKUP(MID(B265,8,2),'Tabel Acuan'!$A$1:$B$6,2,0)</f>
        <v>Supervisor</v>
      </c>
      <c r="F265" s="12">
        <v>42948</v>
      </c>
      <c r="G265" s="8" cm="1">
        <f t="array" ref="G265">INDEX('Tabel Acuan'!$F$4:$F$39,
MATCH(1,('Tabel Acuan'!$D$4:$D$39='Data Gaji Pegawai'!D265)*('Tabel Acuan'!$E$4:$E$39='Data Gaji Pegawai'!E265),0))</f>
        <v>9000000</v>
      </c>
      <c r="H265">
        <f>I265/100000</f>
        <v>44</v>
      </c>
      <c r="I265" s="14">
        <v>4400000</v>
      </c>
      <c r="J265">
        <f ca="1">INT((TODAY()-F265)/30.417)</f>
        <v>107</v>
      </c>
      <c r="K265" s="13">
        <f t="shared" ca="1" si="4"/>
        <v>0</v>
      </c>
      <c r="L265" s="8">
        <f>G265*3.7%</f>
        <v>333000.00000000006</v>
      </c>
      <c r="M265" s="8">
        <f>G265*2%</f>
        <v>180000</v>
      </c>
      <c r="N265" s="8">
        <f>G265*4%</f>
        <v>360000</v>
      </c>
      <c r="O265" s="8">
        <f>G265*1%</f>
        <v>90000</v>
      </c>
      <c r="P265">
        <v>15</v>
      </c>
      <c r="Q265" s="13">
        <f>P265*200000</f>
        <v>3000000</v>
      </c>
      <c r="R265" s="8">
        <v>5000000</v>
      </c>
      <c r="S265" s="9">
        <f>8%*G265</f>
        <v>720000</v>
      </c>
    </row>
    <row r="266" spans="1:19" x14ac:dyDescent="0.3">
      <c r="A266">
        <v>264</v>
      </c>
      <c r="B266" s="10" t="s">
        <v>567</v>
      </c>
      <c r="C266" s="10" t="s">
        <v>568</v>
      </c>
      <c r="D266" s="11" t="str">
        <f>VLOOKUP(MID(B266,6,1),'Tabel Acuan'!$A$10:$B$17,2,0)</f>
        <v>Operations</v>
      </c>
      <c r="E266" t="str">
        <f>VLOOKUP(MID(B266,8,2),'Tabel Acuan'!$A$1:$B$6,2,0)</f>
        <v>Staff</v>
      </c>
      <c r="F266" s="12">
        <v>45963</v>
      </c>
      <c r="G266" s="8" cm="1">
        <f t="array" ref="G266">INDEX('Tabel Acuan'!$F$4:$F$39,
MATCH(1,('Tabel Acuan'!$D$4:$D$39='Data Gaji Pegawai'!D266)*('Tabel Acuan'!$E$4:$E$39='Data Gaji Pegawai'!E266),0))</f>
        <v>5200000</v>
      </c>
      <c r="H266">
        <f>I266/100000</f>
        <v>55</v>
      </c>
      <c r="I266" s="14">
        <v>5500000</v>
      </c>
      <c r="J266">
        <f ca="1">INT((TODAY()-F266)/30.417)</f>
        <v>7</v>
      </c>
      <c r="K266" s="13">
        <f t="shared" ca="1" si="4"/>
        <v>0</v>
      </c>
      <c r="L266" s="8">
        <f>G266*3.7%</f>
        <v>192400.00000000003</v>
      </c>
      <c r="M266" s="8">
        <f>G266*2%</f>
        <v>104000</v>
      </c>
      <c r="N266" s="8">
        <f>G266*4%</f>
        <v>208000</v>
      </c>
      <c r="O266" s="8">
        <f>G266*1%</f>
        <v>52000</v>
      </c>
      <c r="P266">
        <v>2</v>
      </c>
      <c r="Q266" s="13">
        <f>P266*200000</f>
        <v>400000</v>
      </c>
      <c r="R266" s="8">
        <v>2500000</v>
      </c>
      <c r="S266" s="9">
        <f>8%*G266</f>
        <v>416000</v>
      </c>
    </row>
    <row r="267" spans="1:19" x14ac:dyDescent="0.3">
      <c r="A267">
        <v>265</v>
      </c>
      <c r="B267" s="10" t="s">
        <v>569</v>
      </c>
      <c r="C267" s="10" t="s">
        <v>570</v>
      </c>
      <c r="D267" s="11" t="str">
        <f>VLOOKUP(MID(B267,6,1),'Tabel Acuan'!$A$10:$B$17,2,0)</f>
        <v>Human Resources (HR)</v>
      </c>
      <c r="E267" t="str">
        <f>VLOOKUP(MID(B267,8,2),'Tabel Acuan'!$A$1:$B$6,2,0)</f>
        <v>Assistant Manager</v>
      </c>
      <c r="F267" s="12">
        <v>44111</v>
      </c>
      <c r="G267" s="8" cm="1">
        <f t="array" ref="G267">INDEX('Tabel Acuan'!$F$4:$F$39,
MATCH(1,('Tabel Acuan'!$D$4:$D$39='Data Gaji Pegawai'!D267)*('Tabel Acuan'!$E$4:$E$39='Data Gaji Pegawai'!E267),0))</f>
        <v>9000000</v>
      </c>
      <c r="H267">
        <f>I267/100000</f>
        <v>57</v>
      </c>
      <c r="I267" s="14">
        <v>5700000</v>
      </c>
      <c r="J267">
        <f ca="1">INT((TODAY()-F267)/30.417)</f>
        <v>68</v>
      </c>
      <c r="K267" s="13">
        <f t="shared" ca="1" si="4"/>
        <v>0</v>
      </c>
      <c r="L267" s="8">
        <f>G267*3.7%</f>
        <v>333000.00000000006</v>
      </c>
      <c r="M267" s="8">
        <f>G267*2%</f>
        <v>180000</v>
      </c>
      <c r="N267" s="8">
        <f>G267*4%</f>
        <v>360000</v>
      </c>
      <c r="O267" s="8">
        <f>G267*1%</f>
        <v>90000</v>
      </c>
      <c r="P267">
        <v>6</v>
      </c>
      <c r="Q267" s="13">
        <f>P267*200000</f>
        <v>1200000</v>
      </c>
      <c r="R267" s="8">
        <v>500000</v>
      </c>
      <c r="S267" s="9">
        <f>8%*G267</f>
        <v>720000</v>
      </c>
    </row>
    <row r="268" spans="1:19" x14ac:dyDescent="0.3">
      <c r="A268">
        <v>266</v>
      </c>
      <c r="B268" s="10" t="s">
        <v>571</v>
      </c>
      <c r="C268" s="10" t="s">
        <v>572</v>
      </c>
      <c r="D268" s="11" t="str">
        <f>VLOOKUP(MID(B268,6,1),'Tabel Acuan'!$A$10:$B$17,2,0)</f>
        <v>Logistics</v>
      </c>
      <c r="E268" t="str">
        <f>VLOOKUP(MID(B268,8,2),'Tabel Acuan'!$A$1:$B$6,2,0)</f>
        <v>Assistant Manager</v>
      </c>
      <c r="F268" s="12">
        <v>43084</v>
      </c>
      <c r="G268" s="8" cm="1">
        <f t="array" ref="G268">INDEX('Tabel Acuan'!$F$4:$F$39,
MATCH(1,('Tabel Acuan'!$D$4:$D$39='Data Gaji Pegawai'!D268)*('Tabel Acuan'!$E$4:$E$39='Data Gaji Pegawai'!E268),0))</f>
        <v>9300000</v>
      </c>
      <c r="H268">
        <f>I268/100000</f>
        <v>13</v>
      </c>
      <c r="I268" s="14">
        <v>1300000</v>
      </c>
      <c r="J268">
        <f ca="1">INT((TODAY()-F268)/30.417)</f>
        <v>102</v>
      </c>
      <c r="K268" s="13">
        <f t="shared" ca="1" si="4"/>
        <v>0</v>
      </c>
      <c r="L268" s="8">
        <f>G268*3.7%</f>
        <v>344100.00000000006</v>
      </c>
      <c r="M268" s="8">
        <f>G268*2%</f>
        <v>186000</v>
      </c>
      <c r="N268" s="8">
        <f>G268*4%</f>
        <v>372000</v>
      </c>
      <c r="O268" s="8">
        <f>G268*1%</f>
        <v>93000</v>
      </c>
      <c r="P268">
        <v>15</v>
      </c>
      <c r="Q268" s="13">
        <f>P268*200000</f>
        <v>3000000</v>
      </c>
      <c r="R268" s="8">
        <v>0</v>
      </c>
      <c r="S268" s="9">
        <f>8%*G268</f>
        <v>744000</v>
      </c>
    </row>
    <row r="269" spans="1:19" x14ac:dyDescent="0.3">
      <c r="A269">
        <v>267</v>
      </c>
      <c r="B269" s="10" t="s">
        <v>573</v>
      </c>
      <c r="C269" s="10" t="s">
        <v>574</v>
      </c>
      <c r="D269" s="11" t="str">
        <f>VLOOKUP(MID(B269,6,1),'Tabel Acuan'!$A$10:$B$17,2,0)</f>
        <v>Information Technology (IT)</v>
      </c>
      <c r="E269" t="str">
        <f>VLOOKUP(MID(B269,8,2),'Tabel Acuan'!$A$1:$B$6,2,0)</f>
        <v>Supervisor</v>
      </c>
      <c r="F269" s="12">
        <v>45189</v>
      </c>
      <c r="G269" s="8" cm="1">
        <f t="array" ref="G269">INDEX('Tabel Acuan'!$F$4:$F$39,
MATCH(1,('Tabel Acuan'!$D$4:$D$39='Data Gaji Pegawai'!D269)*('Tabel Acuan'!$E$4:$E$39='Data Gaji Pegawai'!E269),0))</f>
        <v>9000000</v>
      </c>
      <c r="H269">
        <f>I269/100000</f>
        <v>26</v>
      </c>
      <c r="I269" s="14">
        <v>2600000</v>
      </c>
      <c r="J269">
        <f ca="1">INT((TODAY()-F269)/30.417)</f>
        <v>33</v>
      </c>
      <c r="K269" s="13">
        <f t="shared" ca="1" si="4"/>
        <v>0</v>
      </c>
      <c r="L269" s="8">
        <f>G269*3.7%</f>
        <v>333000.00000000006</v>
      </c>
      <c r="M269" s="8">
        <f>G269*2%</f>
        <v>180000</v>
      </c>
      <c r="N269" s="8">
        <f>G269*4%</f>
        <v>360000</v>
      </c>
      <c r="O269" s="8">
        <f>G269*1%</f>
        <v>90000</v>
      </c>
      <c r="P269">
        <v>14</v>
      </c>
      <c r="Q269" s="13">
        <f>P269*200000</f>
        <v>2800000</v>
      </c>
      <c r="R269" s="8">
        <v>2500000</v>
      </c>
      <c r="S269" s="9">
        <f>8%*G269</f>
        <v>720000</v>
      </c>
    </row>
    <row r="270" spans="1:19" x14ac:dyDescent="0.3">
      <c r="A270">
        <v>268</v>
      </c>
      <c r="B270" s="10" t="s">
        <v>575</v>
      </c>
      <c r="C270" s="10" t="s">
        <v>576</v>
      </c>
      <c r="D270" s="11" t="str">
        <f>VLOOKUP(MID(B270,6,1),'Tabel Acuan'!$A$10:$B$17,2,0)</f>
        <v>Sales</v>
      </c>
      <c r="E270" t="str">
        <f>VLOOKUP(MID(B270,8,2),'Tabel Acuan'!$A$1:$B$6,2,0)</f>
        <v>Supervisor</v>
      </c>
      <c r="F270" s="12">
        <v>44764</v>
      </c>
      <c r="G270" s="8" cm="1">
        <f t="array" ref="G270">INDEX('Tabel Acuan'!$F$4:$F$39,
MATCH(1,('Tabel Acuan'!$D$4:$D$39='Data Gaji Pegawai'!D270)*('Tabel Acuan'!$E$4:$E$39='Data Gaji Pegawai'!E270),0))</f>
        <v>7500000</v>
      </c>
      <c r="H270">
        <f>I270/100000</f>
        <v>16</v>
      </c>
      <c r="I270" s="14">
        <v>1600000</v>
      </c>
      <c r="J270">
        <f ca="1">INT((TODAY()-F270)/30.417)</f>
        <v>47</v>
      </c>
      <c r="K270" s="13">
        <f t="shared" ca="1" si="4"/>
        <v>0</v>
      </c>
      <c r="L270" s="8">
        <f>G270*3.7%</f>
        <v>277500.00000000006</v>
      </c>
      <c r="M270" s="8">
        <f>G270*2%</f>
        <v>150000</v>
      </c>
      <c r="N270" s="8">
        <f>G270*4%</f>
        <v>300000</v>
      </c>
      <c r="O270" s="8">
        <f>G270*1%</f>
        <v>75000</v>
      </c>
      <c r="P270">
        <v>0</v>
      </c>
      <c r="Q270" s="13">
        <f>P270*200000</f>
        <v>0</v>
      </c>
      <c r="R270" s="8">
        <v>3000000</v>
      </c>
      <c r="S270" s="9">
        <f>8%*G270</f>
        <v>600000</v>
      </c>
    </row>
    <row r="271" spans="1:19" x14ac:dyDescent="0.3">
      <c r="A271">
        <v>269</v>
      </c>
      <c r="B271" s="10" t="s">
        <v>577</v>
      </c>
      <c r="C271" s="10" t="s">
        <v>578</v>
      </c>
      <c r="D271" s="11" t="str">
        <f>VLOOKUP(MID(B271,6,1),'Tabel Acuan'!$A$10:$B$17,2,0)</f>
        <v>Human Resources (HR)</v>
      </c>
      <c r="E271" t="str">
        <f>VLOOKUP(MID(B271,8,2),'Tabel Acuan'!$A$1:$B$6,2,0)</f>
        <v>Senior Staff</v>
      </c>
      <c r="F271" s="12">
        <v>42647</v>
      </c>
      <c r="G271" s="8" cm="1">
        <f t="array" ref="G271">INDEX('Tabel Acuan'!$F$4:$F$39,
MATCH(1,('Tabel Acuan'!$D$4:$D$39='Data Gaji Pegawai'!D271)*('Tabel Acuan'!$E$4:$E$39='Data Gaji Pegawai'!E271),0))</f>
        <v>6000000</v>
      </c>
      <c r="H271">
        <f>I271/100000</f>
        <v>3</v>
      </c>
      <c r="I271" s="14">
        <v>300000</v>
      </c>
      <c r="J271">
        <f ca="1">INT((TODAY()-F271)/30.417)</f>
        <v>116</v>
      </c>
      <c r="K271" s="13">
        <f t="shared" ca="1" si="4"/>
        <v>0</v>
      </c>
      <c r="L271" s="8">
        <f>G271*3.7%</f>
        <v>222000.00000000003</v>
      </c>
      <c r="M271" s="8">
        <f>G271*2%</f>
        <v>120000</v>
      </c>
      <c r="N271" s="8">
        <f>G271*4%</f>
        <v>240000</v>
      </c>
      <c r="O271" s="8">
        <f>G271*1%</f>
        <v>60000</v>
      </c>
      <c r="P271">
        <v>2</v>
      </c>
      <c r="Q271" s="13">
        <f>P271*200000</f>
        <v>400000</v>
      </c>
      <c r="R271" s="8">
        <v>2000000</v>
      </c>
      <c r="S271" s="9">
        <f>8%*G271</f>
        <v>480000</v>
      </c>
    </row>
    <row r="272" spans="1:19" x14ac:dyDescent="0.3">
      <c r="A272">
        <v>270</v>
      </c>
      <c r="B272" s="10" t="s">
        <v>579</v>
      </c>
      <c r="C272" s="10" t="s">
        <v>580</v>
      </c>
      <c r="D272" s="11" t="str">
        <f>VLOOKUP(MID(B272,6,1),'Tabel Acuan'!$A$10:$B$17,2,0)</f>
        <v>Logistics</v>
      </c>
      <c r="E272" t="str">
        <f>VLOOKUP(MID(B272,8,2),'Tabel Acuan'!$A$1:$B$6,2,0)</f>
        <v>Senior Staff</v>
      </c>
      <c r="F272" s="12">
        <v>42333</v>
      </c>
      <c r="G272" s="8" cm="1">
        <f t="array" ref="G272">INDEX('Tabel Acuan'!$F$4:$F$39,
MATCH(1,('Tabel Acuan'!$D$4:$D$39='Data Gaji Pegawai'!D272)*('Tabel Acuan'!$E$4:$E$39='Data Gaji Pegawai'!E272),0))</f>
        <v>6250000</v>
      </c>
      <c r="H272">
        <f>I272/100000</f>
        <v>46</v>
      </c>
      <c r="I272" s="14">
        <v>4600000</v>
      </c>
      <c r="J272">
        <f ca="1">INT((TODAY()-F272)/30.417)</f>
        <v>127</v>
      </c>
      <c r="K272" s="13">
        <f t="shared" ca="1" si="4"/>
        <v>0</v>
      </c>
      <c r="L272" s="8">
        <f>G272*3.7%</f>
        <v>231250.00000000003</v>
      </c>
      <c r="M272" s="8">
        <f>G272*2%</f>
        <v>125000</v>
      </c>
      <c r="N272" s="8">
        <f>G272*4%</f>
        <v>250000</v>
      </c>
      <c r="O272" s="8">
        <f>G272*1%</f>
        <v>62500</v>
      </c>
      <c r="P272">
        <v>13</v>
      </c>
      <c r="Q272" s="13">
        <f>P272*200000</f>
        <v>2600000</v>
      </c>
      <c r="R272" s="8">
        <v>1500000</v>
      </c>
      <c r="S272" s="9">
        <f>8%*G272</f>
        <v>500000</v>
      </c>
    </row>
    <row r="273" spans="1:19" x14ac:dyDescent="0.3">
      <c r="A273">
        <v>271</v>
      </c>
      <c r="B273" s="10" t="s">
        <v>581</v>
      </c>
      <c r="C273" s="10" t="s">
        <v>582</v>
      </c>
      <c r="D273" s="11" t="str">
        <f>VLOOKUP(MID(B273,6,1),'Tabel Acuan'!$A$10:$B$17,2,0)</f>
        <v>Operations</v>
      </c>
      <c r="E273" t="str">
        <f>VLOOKUP(MID(B273,8,2),'Tabel Acuan'!$A$1:$B$6,2,0)</f>
        <v>Assistant Manager</v>
      </c>
      <c r="F273" s="12">
        <v>44603</v>
      </c>
      <c r="G273" s="8" cm="1">
        <f t="array" ref="G273">INDEX('Tabel Acuan'!$F$4:$F$39,
MATCH(1,('Tabel Acuan'!$D$4:$D$39='Data Gaji Pegawai'!D273)*('Tabel Acuan'!$E$4:$E$39='Data Gaji Pegawai'!E273),0))</f>
        <v>9700000</v>
      </c>
      <c r="H273">
        <f>I273/100000</f>
        <v>43</v>
      </c>
      <c r="I273" s="14">
        <v>4300000</v>
      </c>
      <c r="J273">
        <f ca="1">INT((TODAY()-F273)/30.417)</f>
        <v>52</v>
      </c>
      <c r="K273" s="13">
        <f t="shared" ca="1" si="4"/>
        <v>0</v>
      </c>
      <c r="L273" s="8">
        <f>G273*3.7%</f>
        <v>358900.00000000006</v>
      </c>
      <c r="M273" s="8">
        <f>G273*2%</f>
        <v>194000</v>
      </c>
      <c r="N273" s="8">
        <f>G273*4%</f>
        <v>388000</v>
      </c>
      <c r="O273" s="8">
        <f>G273*1%</f>
        <v>97000</v>
      </c>
      <c r="P273">
        <v>4</v>
      </c>
      <c r="Q273" s="13">
        <f>P273*200000</f>
        <v>800000</v>
      </c>
      <c r="R273" s="8">
        <v>1250000</v>
      </c>
      <c r="S273" s="9">
        <f>8%*G273</f>
        <v>776000</v>
      </c>
    </row>
    <row r="274" spans="1:19" x14ac:dyDescent="0.3">
      <c r="A274">
        <v>272</v>
      </c>
      <c r="B274" s="10" t="s">
        <v>583</v>
      </c>
      <c r="C274" s="10" t="s">
        <v>584</v>
      </c>
      <c r="D274" s="11" t="str">
        <f>VLOOKUP(MID(B274,6,1),'Tabel Acuan'!$A$10:$B$17,2,0)</f>
        <v>Finance</v>
      </c>
      <c r="E274" t="str">
        <f>VLOOKUP(MID(B274,8,2),'Tabel Acuan'!$A$1:$B$6,2,0)</f>
        <v>Manager</v>
      </c>
      <c r="F274" s="12">
        <v>42435</v>
      </c>
      <c r="G274" s="8" cm="1">
        <f t="array" ref="G274">INDEX('Tabel Acuan'!$F$4:$F$39,
MATCH(1,('Tabel Acuan'!$D$4:$D$39='Data Gaji Pegawai'!D274)*('Tabel Acuan'!$E$4:$E$39='Data Gaji Pegawai'!E274),0))</f>
        <v>13500000</v>
      </c>
      <c r="H274">
        <f>I274/100000</f>
        <v>46</v>
      </c>
      <c r="I274" s="14">
        <v>4600000</v>
      </c>
      <c r="J274">
        <f ca="1">INT((TODAY()-F274)/30.417)</f>
        <v>123</v>
      </c>
      <c r="K274" s="13">
        <f t="shared" ca="1" si="4"/>
        <v>0</v>
      </c>
      <c r="L274" s="8">
        <f>G274*3.7%</f>
        <v>499500.00000000006</v>
      </c>
      <c r="M274" s="8">
        <f>G274*2%</f>
        <v>270000</v>
      </c>
      <c r="N274" s="8">
        <f>G274*4%</f>
        <v>540000</v>
      </c>
      <c r="O274" s="8">
        <f>G274*1%</f>
        <v>135000</v>
      </c>
      <c r="P274">
        <v>7</v>
      </c>
      <c r="Q274" s="13">
        <f>P274*200000</f>
        <v>1400000</v>
      </c>
      <c r="R274" s="8">
        <v>5000000</v>
      </c>
      <c r="S274" s="9">
        <f>8%*G274</f>
        <v>1080000</v>
      </c>
    </row>
    <row r="275" spans="1:19" x14ac:dyDescent="0.3">
      <c r="A275">
        <v>273</v>
      </c>
      <c r="B275" s="10" t="s">
        <v>585</v>
      </c>
      <c r="C275" s="10" t="s">
        <v>586</v>
      </c>
      <c r="D275" s="11" t="str">
        <f>VLOOKUP(MID(B275,6,1),'Tabel Acuan'!$A$10:$B$17,2,0)</f>
        <v>Logistics</v>
      </c>
      <c r="E275" t="str">
        <f>VLOOKUP(MID(B275,8,2),'Tabel Acuan'!$A$1:$B$6,2,0)</f>
        <v>Senior Staff</v>
      </c>
      <c r="F275" s="12">
        <v>42222</v>
      </c>
      <c r="G275" s="8" cm="1">
        <f t="array" ref="G275">INDEX('Tabel Acuan'!$F$4:$F$39,
MATCH(1,('Tabel Acuan'!$D$4:$D$39='Data Gaji Pegawai'!D275)*('Tabel Acuan'!$E$4:$E$39='Data Gaji Pegawai'!E275),0))</f>
        <v>6250000</v>
      </c>
      <c r="H275">
        <f>I275/100000</f>
        <v>34</v>
      </c>
      <c r="I275" s="14">
        <v>3400000</v>
      </c>
      <c r="J275">
        <f ca="1">INT((TODAY()-F275)/30.417)</f>
        <v>130</v>
      </c>
      <c r="K275" s="13">
        <f t="shared" ca="1" si="4"/>
        <v>0</v>
      </c>
      <c r="L275" s="8">
        <f>G275*3.7%</f>
        <v>231250.00000000003</v>
      </c>
      <c r="M275" s="8">
        <f>G275*2%</f>
        <v>125000</v>
      </c>
      <c r="N275" s="8">
        <f>G275*4%</f>
        <v>250000</v>
      </c>
      <c r="O275" s="8">
        <f>G275*1%</f>
        <v>62500</v>
      </c>
      <c r="P275">
        <v>12</v>
      </c>
      <c r="Q275" s="13">
        <f>P275*200000</f>
        <v>2400000</v>
      </c>
      <c r="R275" s="8">
        <v>750000</v>
      </c>
      <c r="S275" s="9">
        <f>8%*G275</f>
        <v>500000</v>
      </c>
    </row>
    <row r="276" spans="1:19" x14ac:dyDescent="0.3">
      <c r="A276">
        <v>274</v>
      </c>
      <c r="B276" s="10" t="s">
        <v>587</v>
      </c>
      <c r="C276" s="10" t="s">
        <v>588</v>
      </c>
      <c r="D276" s="11" t="str">
        <f>VLOOKUP(MID(B276,6,1),'Tabel Acuan'!$A$10:$B$17,2,0)</f>
        <v>Logistics</v>
      </c>
      <c r="E276" t="str">
        <f>VLOOKUP(MID(B276,8,2),'Tabel Acuan'!$A$1:$B$6,2,0)</f>
        <v>Staff</v>
      </c>
      <c r="F276" s="12">
        <v>44619</v>
      </c>
      <c r="G276" s="8" cm="1">
        <f t="array" ref="G276">INDEX('Tabel Acuan'!$F$4:$F$39,
MATCH(1,('Tabel Acuan'!$D$4:$D$39='Data Gaji Pegawai'!D276)*('Tabel Acuan'!$E$4:$E$39='Data Gaji Pegawai'!E276),0))</f>
        <v>5200000</v>
      </c>
      <c r="H276">
        <f>I276/100000</f>
        <v>2</v>
      </c>
      <c r="I276" s="14">
        <v>200000</v>
      </c>
      <c r="J276">
        <f ca="1">INT((TODAY()-F276)/30.417)</f>
        <v>52</v>
      </c>
      <c r="K276" s="13">
        <f t="shared" ca="1" si="4"/>
        <v>0</v>
      </c>
      <c r="L276" s="8">
        <f>G276*3.7%</f>
        <v>192400.00000000003</v>
      </c>
      <c r="M276" s="8">
        <f>G276*2%</f>
        <v>104000</v>
      </c>
      <c r="N276" s="8">
        <f>G276*4%</f>
        <v>208000</v>
      </c>
      <c r="O276" s="8">
        <f>G276*1%</f>
        <v>52000</v>
      </c>
      <c r="P276">
        <v>13</v>
      </c>
      <c r="Q276" s="13">
        <f>P276*200000</f>
        <v>2600000</v>
      </c>
      <c r="R276" s="8">
        <v>250000</v>
      </c>
      <c r="S276" s="9">
        <f>8%*G276</f>
        <v>416000</v>
      </c>
    </row>
    <row r="277" spans="1:19" x14ac:dyDescent="0.3">
      <c r="A277">
        <v>275</v>
      </c>
      <c r="B277" s="10" t="s">
        <v>589</v>
      </c>
      <c r="C277" s="10" t="s">
        <v>590</v>
      </c>
      <c r="D277" s="11" t="str">
        <f>VLOOKUP(MID(B277,6,1),'Tabel Acuan'!$A$10:$B$17,2,0)</f>
        <v>Finance</v>
      </c>
      <c r="E277" t="str">
        <f>VLOOKUP(MID(B277,8,2),'Tabel Acuan'!$A$1:$B$6,2,0)</f>
        <v>Staff</v>
      </c>
      <c r="F277" s="12">
        <v>43329</v>
      </c>
      <c r="G277" s="8" cm="1">
        <f t="array" ref="G277">INDEX('Tabel Acuan'!$F$4:$F$39,
MATCH(1,('Tabel Acuan'!$D$4:$D$39='Data Gaji Pegawai'!D277)*('Tabel Acuan'!$E$4:$E$39='Data Gaji Pegawai'!E277),0))</f>
        <v>5500000</v>
      </c>
      <c r="H277">
        <f>I277/100000</f>
        <v>38</v>
      </c>
      <c r="I277" s="14">
        <v>3800000</v>
      </c>
      <c r="J277">
        <f ca="1">INT((TODAY()-F277)/30.417)</f>
        <v>94</v>
      </c>
      <c r="K277" s="13">
        <f t="shared" ca="1" si="4"/>
        <v>0</v>
      </c>
      <c r="L277" s="8">
        <f>G277*3.7%</f>
        <v>203500.00000000003</v>
      </c>
      <c r="M277" s="8">
        <f>G277*2%</f>
        <v>110000</v>
      </c>
      <c r="N277" s="8">
        <f>G277*4%</f>
        <v>220000</v>
      </c>
      <c r="O277" s="8">
        <f>G277*1%</f>
        <v>55000</v>
      </c>
      <c r="P277">
        <v>1</v>
      </c>
      <c r="Q277" s="13">
        <f>P277*200000</f>
        <v>200000</v>
      </c>
      <c r="R277" s="8">
        <v>0</v>
      </c>
      <c r="S277" s="9">
        <f>8%*G277</f>
        <v>440000</v>
      </c>
    </row>
    <row r="278" spans="1:19" x14ac:dyDescent="0.3">
      <c r="A278">
        <v>276</v>
      </c>
      <c r="B278" s="10" t="s">
        <v>591</v>
      </c>
      <c r="C278" s="10" t="s">
        <v>592</v>
      </c>
      <c r="D278" s="11" t="str">
        <f>VLOOKUP(MID(B278,6,1),'Tabel Acuan'!$A$10:$B$17,2,0)</f>
        <v>Information Technology (IT)</v>
      </c>
      <c r="E278" t="str">
        <f>VLOOKUP(MID(B278,8,2),'Tabel Acuan'!$A$1:$B$6,2,0)</f>
        <v>Senior Staff</v>
      </c>
      <c r="F278" s="12">
        <v>42033</v>
      </c>
      <c r="G278" s="8" cm="1">
        <f t="array" ref="G278">INDEX('Tabel Acuan'!$F$4:$F$39,
MATCH(1,('Tabel Acuan'!$D$4:$D$39='Data Gaji Pegawai'!D278)*('Tabel Acuan'!$E$4:$E$39='Data Gaji Pegawai'!E278),0))</f>
        <v>7500000</v>
      </c>
      <c r="H278">
        <f>I278/100000</f>
        <v>8</v>
      </c>
      <c r="I278" s="14">
        <v>800000</v>
      </c>
      <c r="J278">
        <f ca="1">INT((TODAY()-F278)/30.417)</f>
        <v>137</v>
      </c>
      <c r="K278" s="13">
        <f t="shared" ca="1" si="4"/>
        <v>0</v>
      </c>
      <c r="L278" s="8">
        <f>G278*3.7%</f>
        <v>277500.00000000006</v>
      </c>
      <c r="M278" s="8">
        <f>G278*2%</f>
        <v>150000</v>
      </c>
      <c r="N278" s="8">
        <f>G278*4%</f>
        <v>300000</v>
      </c>
      <c r="O278" s="8">
        <f>G278*1%</f>
        <v>75000</v>
      </c>
      <c r="P278">
        <v>9</v>
      </c>
      <c r="Q278" s="13">
        <f>P278*200000</f>
        <v>1800000</v>
      </c>
      <c r="R278" s="8">
        <v>0</v>
      </c>
      <c r="S278" s="9">
        <f>8%*G278</f>
        <v>600000</v>
      </c>
    </row>
    <row r="279" spans="1:19" x14ac:dyDescent="0.3">
      <c r="A279">
        <v>277</v>
      </c>
      <c r="B279" s="10" t="s">
        <v>593</v>
      </c>
      <c r="C279" s="10" t="s">
        <v>594</v>
      </c>
      <c r="D279" s="11" t="str">
        <f>VLOOKUP(MID(B279,6,1),'Tabel Acuan'!$A$10:$B$17,2,0)</f>
        <v>Logistics</v>
      </c>
      <c r="E279" t="str">
        <f>VLOOKUP(MID(B279,8,2),'Tabel Acuan'!$A$1:$B$6,2,0)</f>
        <v>Senior Staff</v>
      </c>
      <c r="F279" s="12">
        <v>45456</v>
      </c>
      <c r="G279" s="8" cm="1">
        <f t="array" ref="G279">INDEX('Tabel Acuan'!$F$4:$F$39,
MATCH(1,('Tabel Acuan'!$D$4:$D$39='Data Gaji Pegawai'!D279)*('Tabel Acuan'!$E$4:$E$39='Data Gaji Pegawai'!E279),0))</f>
        <v>6250000</v>
      </c>
      <c r="H279">
        <f>I279/100000</f>
        <v>15</v>
      </c>
      <c r="I279" s="14">
        <v>1500000</v>
      </c>
      <c r="J279">
        <f ca="1">INT((TODAY()-F279)/30.417)</f>
        <v>24</v>
      </c>
      <c r="K279" s="13">
        <f t="shared" ca="1" si="4"/>
        <v>0</v>
      </c>
      <c r="L279" s="8">
        <f>G279*3.7%</f>
        <v>231250.00000000003</v>
      </c>
      <c r="M279" s="8">
        <f>G279*2%</f>
        <v>125000</v>
      </c>
      <c r="N279" s="8">
        <f>G279*4%</f>
        <v>250000</v>
      </c>
      <c r="O279" s="8">
        <f>G279*1%</f>
        <v>62500</v>
      </c>
      <c r="P279">
        <v>9</v>
      </c>
      <c r="Q279" s="13">
        <f>P279*200000</f>
        <v>1800000</v>
      </c>
      <c r="R279" s="8">
        <v>3500000</v>
      </c>
      <c r="S279" s="9">
        <f>8%*G279</f>
        <v>500000</v>
      </c>
    </row>
    <row r="280" spans="1:19" x14ac:dyDescent="0.3">
      <c r="A280">
        <v>278</v>
      </c>
      <c r="B280" s="10" t="s">
        <v>595</v>
      </c>
      <c r="C280" s="10" t="s">
        <v>596</v>
      </c>
      <c r="D280" s="11" t="str">
        <f>VLOOKUP(MID(B280,6,1),'Tabel Acuan'!$A$10:$B$17,2,0)</f>
        <v>Finance</v>
      </c>
      <c r="E280" t="str">
        <f>VLOOKUP(MID(B280,8,2),'Tabel Acuan'!$A$1:$B$6,2,0)</f>
        <v>Senior Staff</v>
      </c>
      <c r="F280" s="12">
        <v>45212</v>
      </c>
      <c r="G280" s="8" cm="1">
        <f t="array" ref="G280">INDEX('Tabel Acuan'!$F$4:$F$39,
MATCH(1,('Tabel Acuan'!$D$4:$D$39='Data Gaji Pegawai'!D280)*('Tabel Acuan'!$E$4:$E$39='Data Gaji Pegawai'!E280),0))</f>
        <v>6600000</v>
      </c>
      <c r="H280">
        <f>I280/100000</f>
        <v>60</v>
      </c>
      <c r="I280" s="14">
        <v>6000000</v>
      </c>
      <c r="J280">
        <f ca="1">INT((TODAY()-F280)/30.417)</f>
        <v>32</v>
      </c>
      <c r="K280" s="13">
        <f t="shared" ca="1" si="4"/>
        <v>0</v>
      </c>
      <c r="L280" s="8">
        <f>G280*3.7%</f>
        <v>244200.00000000003</v>
      </c>
      <c r="M280" s="8">
        <f>G280*2%</f>
        <v>132000</v>
      </c>
      <c r="N280" s="8">
        <f>G280*4%</f>
        <v>264000</v>
      </c>
      <c r="O280" s="8">
        <f>G280*1%</f>
        <v>66000</v>
      </c>
      <c r="P280">
        <v>5</v>
      </c>
      <c r="Q280" s="13">
        <f>P280*200000</f>
        <v>1000000</v>
      </c>
      <c r="R280" s="8">
        <v>1500000</v>
      </c>
      <c r="S280" s="9">
        <f>8%*G280</f>
        <v>528000</v>
      </c>
    </row>
    <row r="281" spans="1:19" x14ac:dyDescent="0.3">
      <c r="A281">
        <v>279</v>
      </c>
      <c r="B281" s="10" t="s">
        <v>597</v>
      </c>
      <c r="C281" s="10" t="s">
        <v>598</v>
      </c>
      <c r="D281" s="11" t="str">
        <f>VLOOKUP(MID(B281,6,1),'Tabel Acuan'!$A$10:$B$17,2,0)</f>
        <v>Information Technology (IT)</v>
      </c>
      <c r="E281" t="str">
        <f>VLOOKUP(MID(B281,8,2),'Tabel Acuan'!$A$1:$B$6,2,0)</f>
        <v>Staff</v>
      </c>
      <c r="F281" s="12">
        <v>45270</v>
      </c>
      <c r="G281" s="8" cm="1">
        <f t="array" ref="G281">INDEX('Tabel Acuan'!$F$4:$F$39,
MATCH(1,('Tabel Acuan'!$D$4:$D$39='Data Gaji Pegawai'!D281)*('Tabel Acuan'!$E$4:$E$39='Data Gaji Pegawai'!E281),0))</f>
        <v>6000000</v>
      </c>
      <c r="H281">
        <f>I281/100000</f>
        <v>24</v>
      </c>
      <c r="I281" s="14">
        <v>2400000</v>
      </c>
      <c r="J281">
        <f ca="1">INT((TODAY()-F281)/30.417)</f>
        <v>30</v>
      </c>
      <c r="K281" s="13">
        <f t="shared" ca="1" si="4"/>
        <v>0</v>
      </c>
      <c r="L281" s="8">
        <f>G281*3.7%</f>
        <v>222000.00000000003</v>
      </c>
      <c r="M281" s="8">
        <f>G281*2%</f>
        <v>120000</v>
      </c>
      <c r="N281" s="8">
        <f>G281*4%</f>
        <v>240000</v>
      </c>
      <c r="O281" s="8">
        <f>G281*1%</f>
        <v>60000</v>
      </c>
      <c r="P281">
        <v>10</v>
      </c>
      <c r="Q281" s="13">
        <f>P281*200000</f>
        <v>2000000</v>
      </c>
      <c r="R281" s="8">
        <v>1500000</v>
      </c>
      <c r="S281" s="9">
        <f>8%*G281</f>
        <v>480000</v>
      </c>
    </row>
    <row r="282" spans="1:19" x14ac:dyDescent="0.3">
      <c r="A282">
        <v>280</v>
      </c>
      <c r="B282" s="10" t="s">
        <v>599</v>
      </c>
      <c r="C282" s="10" t="s">
        <v>600</v>
      </c>
      <c r="D282" s="11" t="str">
        <f>VLOOKUP(MID(B282,6,1),'Tabel Acuan'!$A$10:$B$17,2,0)</f>
        <v>Logistics</v>
      </c>
      <c r="E282" t="str">
        <f>VLOOKUP(MID(B282,8,2),'Tabel Acuan'!$A$1:$B$6,2,0)</f>
        <v>Staff</v>
      </c>
      <c r="F282" s="12">
        <v>42978</v>
      </c>
      <c r="G282" s="8" cm="1">
        <f t="array" ref="G282">INDEX('Tabel Acuan'!$F$4:$F$39,
MATCH(1,('Tabel Acuan'!$D$4:$D$39='Data Gaji Pegawai'!D282)*('Tabel Acuan'!$E$4:$E$39='Data Gaji Pegawai'!E282),0))</f>
        <v>5200000</v>
      </c>
      <c r="H282">
        <f>I282/100000</f>
        <v>15</v>
      </c>
      <c r="I282" s="14">
        <v>1500000</v>
      </c>
      <c r="J282">
        <f ca="1">INT((TODAY()-F282)/30.417)</f>
        <v>106</v>
      </c>
      <c r="K282" s="13">
        <f t="shared" ca="1" si="4"/>
        <v>0</v>
      </c>
      <c r="L282" s="8">
        <f>G282*3.7%</f>
        <v>192400.00000000003</v>
      </c>
      <c r="M282" s="8">
        <f>G282*2%</f>
        <v>104000</v>
      </c>
      <c r="N282" s="8">
        <f>G282*4%</f>
        <v>208000</v>
      </c>
      <c r="O282" s="8">
        <f>G282*1%</f>
        <v>52000</v>
      </c>
      <c r="P282">
        <v>7</v>
      </c>
      <c r="Q282" s="13">
        <f>P282*200000</f>
        <v>1400000</v>
      </c>
      <c r="R282" s="8">
        <v>0</v>
      </c>
      <c r="S282" s="9">
        <f>8%*G282</f>
        <v>416000</v>
      </c>
    </row>
    <row r="283" spans="1:19" x14ac:dyDescent="0.3">
      <c r="A283">
        <v>281</v>
      </c>
      <c r="B283" s="10" t="s">
        <v>601</v>
      </c>
      <c r="C283" s="10" t="s">
        <v>602</v>
      </c>
      <c r="D283" s="11" t="str">
        <f>VLOOKUP(MID(B283,6,1),'Tabel Acuan'!$A$10:$B$17,2,0)</f>
        <v>Operations</v>
      </c>
      <c r="E283" t="str">
        <f>VLOOKUP(MID(B283,8,2),'Tabel Acuan'!$A$1:$B$6,2,0)</f>
        <v>Senior Staff</v>
      </c>
      <c r="F283" s="12">
        <v>42947</v>
      </c>
      <c r="G283" s="8" cm="1">
        <f t="array" ref="G283">INDEX('Tabel Acuan'!$F$4:$F$39,
MATCH(1,('Tabel Acuan'!$D$4:$D$39='Data Gaji Pegawai'!D283)*('Tabel Acuan'!$E$4:$E$39='Data Gaji Pegawai'!E283),0))</f>
        <v>6300000</v>
      </c>
      <c r="H283">
        <f>I283/100000</f>
        <v>26</v>
      </c>
      <c r="I283" s="14">
        <v>2600000</v>
      </c>
      <c r="J283">
        <f ca="1">INT((TODAY()-F283)/30.417)</f>
        <v>107</v>
      </c>
      <c r="K283" s="13">
        <f t="shared" ca="1" si="4"/>
        <v>0</v>
      </c>
      <c r="L283" s="8">
        <f>G283*3.7%</f>
        <v>233100.00000000003</v>
      </c>
      <c r="M283" s="8">
        <f>G283*2%</f>
        <v>126000</v>
      </c>
      <c r="N283" s="8">
        <f>G283*4%</f>
        <v>252000</v>
      </c>
      <c r="O283" s="8">
        <f>G283*1%</f>
        <v>63000</v>
      </c>
      <c r="P283">
        <v>4</v>
      </c>
      <c r="Q283" s="13">
        <f>P283*200000</f>
        <v>800000</v>
      </c>
      <c r="R283" s="8">
        <v>1000000</v>
      </c>
      <c r="S283" s="9">
        <f>8%*G283</f>
        <v>504000</v>
      </c>
    </row>
    <row r="284" spans="1:19" x14ac:dyDescent="0.3">
      <c r="A284">
        <v>282</v>
      </c>
      <c r="B284" s="10" t="s">
        <v>603</v>
      </c>
      <c r="C284" s="10" t="s">
        <v>604</v>
      </c>
      <c r="D284" s="11" t="str">
        <f>VLOOKUP(MID(B284,6,1),'Tabel Acuan'!$A$10:$B$17,2,0)</f>
        <v>Logistics</v>
      </c>
      <c r="E284" t="str">
        <f>VLOOKUP(MID(B284,8,2),'Tabel Acuan'!$A$1:$B$6,2,0)</f>
        <v>Senior Staff</v>
      </c>
      <c r="F284" s="12">
        <v>43148</v>
      </c>
      <c r="G284" s="8" cm="1">
        <f t="array" ref="G284">INDEX('Tabel Acuan'!$F$4:$F$39,
MATCH(1,('Tabel Acuan'!$D$4:$D$39='Data Gaji Pegawai'!D284)*('Tabel Acuan'!$E$4:$E$39='Data Gaji Pegawai'!E284),0))</f>
        <v>6250000</v>
      </c>
      <c r="H284">
        <f>I284/100000</f>
        <v>34</v>
      </c>
      <c r="I284" s="14">
        <v>3400000</v>
      </c>
      <c r="J284">
        <f ca="1">INT((TODAY()-F284)/30.417)</f>
        <v>100</v>
      </c>
      <c r="K284" s="13">
        <f t="shared" ca="1" si="4"/>
        <v>0</v>
      </c>
      <c r="L284" s="8">
        <f>G284*3.7%</f>
        <v>231250.00000000003</v>
      </c>
      <c r="M284" s="8">
        <f>G284*2%</f>
        <v>125000</v>
      </c>
      <c r="N284" s="8">
        <f>G284*4%</f>
        <v>250000</v>
      </c>
      <c r="O284" s="8">
        <f>G284*1%</f>
        <v>62500</v>
      </c>
      <c r="P284">
        <v>6</v>
      </c>
      <c r="Q284" s="13">
        <f>P284*200000</f>
        <v>1200000</v>
      </c>
      <c r="R284" s="8">
        <v>0</v>
      </c>
      <c r="S284" s="9">
        <f>8%*G284</f>
        <v>500000</v>
      </c>
    </row>
    <row r="285" spans="1:19" x14ac:dyDescent="0.3">
      <c r="A285">
        <v>283</v>
      </c>
      <c r="B285" s="10" t="s">
        <v>605</v>
      </c>
      <c r="C285" s="10" t="s">
        <v>606</v>
      </c>
      <c r="D285" s="11" t="str">
        <f>VLOOKUP(MID(B285,6,1),'Tabel Acuan'!$A$10:$B$17,2,0)</f>
        <v>Sales</v>
      </c>
      <c r="E285" t="str">
        <f>VLOOKUP(MID(B285,8,2),'Tabel Acuan'!$A$1:$B$6,2,0)</f>
        <v>Senior Staff</v>
      </c>
      <c r="F285" s="12">
        <v>44293</v>
      </c>
      <c r="G285" s="8" cm="1">
        <f t="array" ref="G285">INDEX('Tabel Acuan'!$F$4:$F$39,
MATCH(1,('Tabel Acuan'!$D$4:$D$39='Data Gaji Pegawai'!D285)*('Tabel Acuan'!$E$4:$E$39='Data Gaji Pegawai'!E285),0))</f>
        <v>6000000</v>
      </c>
      <c r="H285">
        <f>I285/100000</f>
        <v>51</v>
      </c>
      <c r="I285" s="14">
        <v>5100000</v>
      </c>
      <c r="J285">
        <f ca="1">INT((TODAY()-F285)/30.417)</f>
        <v>62</v>
      </c>
      <c r="K285" s="13">
        <f t="shared" ca="1" si="4"/>
        <v>0</v>
      </c>
      <c r="L285" s="8">
        <f>G285*3.7%</f>
        <v>222000.00000000003</v>
      </c>
      <c r="M285" s="8">
        <f>G285*2%</f>
        <v>120000</v>
      </c>
      <c r="N285" s="8">
        <f>G285*4%</f>
        <v>240000</v>
      </c>
      <c r="O285" s="8">
        <f>G285*1%</f>
        <v>60000</v>
      </c>
      <c r="P285">
        <v>6</v>
      </c>
      <c r="Q285" s="13">
        <f>P285*200000</f>
        <v>1200000</v>
      </c>
      <c r="R285" s="8">
        <v>1250000</v>
      </c>
      <c r="S285" s="9">
        <f>8%*G285</f>
        <v>480000</v>
      </c>
    </row>
    <row r="286" spans="1:19" x14ac:dyDescent="0.3">
      <c r="A286">
        <v>284</v>
      </c>
      <c r="B286" s="10" t="s">
        <v>607</v>
      </c>
      <c r="C286" s="10" t="s">
        <v>608</v>
      </c>
      <c r="D286" s="11" t="str">
        <f>VLOOKUP(MID(B286,6,1),'Tabel Acuan'!$A$10:$B$17,2,0)</f>
        <v>Human Resources (HR)</v>
      </c>
      <c r="E286" t="str">
        <f>VLOOKUP(MID(B286,8,2),'Tabel Acuan'!$A$1:$B$6,2,0)</f>
        <v>Staff</v>
      </c>
      <c r="F286" s="12">
        <v>43526</v>
      </c>
      <c r="G286" s="8" cm="1">
        <f t="array" ref="G286">INDEX('Tabel Acuan'!$F$4:$F$39,
MATCH(1,('Tabel Acuan'!$D$4:$D$39='Data Gaji Pegawai'!D286)*('Tabel Acuan'!$E$4:$E$39='Data Gaji Pegawai'!E286),0))</f>
        <v>5000000</v>
      </c>
      <c r="H286">
        <f>I286/100000</f>
        <v>47</v>
      </c>
      <c r="I286" s="14">
        <v>4700000</v>
      </c>
      <c r="J286">
        <f ca="1">INT((TODAY()-F286)/30.417)</f>
        <v>88</v>
      </c>
      <c r="K286" s="13">
        <f t="shared" ca="1" si="4"/>
        <v>0</v>
      </c>
      <c r="L286" s="8">
        <f>G286*3.7%</f>
        <v>185000.00000000003</v>
      </c>
      <c r="M286" s="8">
        <f>G286*2%</f>
        <v>100000</v>
      </c>
      <c r="N286" s="8">
        <f>G286*4%</f>
        <v>200000</v>
      </c>
      <c r="O286" s="8">
        <f>G286*1%</f>
        <v>50000</v>
      </c>
      <c r="P286">
        <v>15</v>
      </c>
      <c r="Q286" s="13">
        <f>P286*200000</f>
        <v>3000000</v>
      </c>
      <c r="R286" s="8">
        <v>4000000</v>
      </c>
      <c r="S286" s="9">
        <f>8%*G286</f>
        <v>400000</v>
      </c>
    </row>
    <row r="287" spans="1:19" x14ac:dyDescent="0.3">
      <c r="A287">
        <v>285</v>
      </c>
      <c r="B287" s="10" t="s">
        <v>609</v>
      </c>
      <c r="C287" s="10" t="s">
        <v>610</v>
      </c>
      <c r="D287" s="11" t="str">
        <f>VLOOKUP(MID(B287,6,1),'Tabel Acuan'!$A$10:$B$17,2,0)</f>
        <v>Sales</v>
      </c>
      <c r="E287" t="str">
        <f>VLOOKUP(MID(B287,8,2),'Tabel Acuan'!$A$1:$B$6,2,0)</f>
        <v>Staff</v>
      </c>
      <c r="F287" s="12">
        <v>45456</v>
      </c>
      <c r="G287" s="8" cm="1">
        <f t="array" ref="G287">INDEX('Tabel Acuan'!$F$4:$F$39,
MATCH(1,('Tabel Acuan'!$D$4:$D$39='Data Gaji Pegawai'!D287)*('Tabel Acuan'!$E$4:$E$39='Data Gaji Pegawai'!E287),0))</f>
        <v>5000000</v>
      </c>
      <c r="H287">
        <f>I287/100000</f>
        <v>49</v>
      </c>
      <c r="I287" s="14">
        <v>4900000</v>
      </c>
      <c r="J287">
        <f ca="1">INT((TODAY()-F287)/30.417)</f>
        <v>24</v>
      </c>
      <c r="K287" s="13">
        <f t="shared" ca="1" si="4"/>
        <v>0</v>
      </c>
      <c r="L287" s="8">
        <f>G287*3.7%</f>
        <v>185000.00000000003</v>
      </c>
      <c r="M287" s="8">
        <f>G287*2%</f>
        <v>100000</v>
      </c>
      <c r="N287" s="8">
        <f>G287*4%</f>
        <v>200000</v>
      </c>
      <c r="O287" s="8">
        <f>G287*1%</f>
        <v>50000</v>
      </c>
      <c r="P287">
        <v>9</v>
      </c>
      <c r="Q287" s="13">
        <f>P287*200000</f>
        <v>1800000</v>
      </c>
      <c r="R287" s="8">
        <v>2500000</v>
      </c>
      <c r="S287" s="9">
        <f>8%*G287</f>
        <v>400000</v>
      </c>
    </row>
    <row r="288" spans="1:19" x14ac:dyDescent="0.3">
      <c r="A288">
        <v>286</v>
      </c>
      <c r="B288" s="10" t="s">
        <v>611</v>
      </c>
      <c r="C288" s="10" t="s">
        <v>333</v>
      </c>
      <c r="D288" s="11" t="str">
        <f>VLOOKUP(MID(B288,6,1),'Tabel Acuan'!$A$10:$B$17,2,0)</f>
        <v>Logistics</v>
      </c>
      <c r="E288" t="str">
        <f>VLOOKUP(MID(B288,8,2),'Tabel Acuan'!$A$1:$B$6,2,0)</f>
        <v>Staff</v>
      </c>
      <c r="F288" s="12">
        <v>45912</v>
      </c>
      <c r="G288" s="8" cm="1">
        <f t="array" ref="G288">INDEX('Tabel Acuan'!$F$4:$F$39,
MATCH(1,('Tabel Acuan'!$D$4:$D$39='Data Gaji Pegawai'!D288)*('Tabel Acuan'!$E$4:$E$39='Data Gaji Pegawai'!E288),0))</f>
        <v>5200000</v>
      </c>
      <c r="H288">
        <f>I288/100000</f>
        <v>29</v>
      </c>
      <c r="I288" s="14">
        <v>2900000</v>
      </c>
      <c r="J288">
        <f ca="1">INT((TODAY()-F288)/30.417)</f>
        <v>9</v>
      </c>
      <c r="K288" s="13">
        <f t="shared" ca="1" si="4"/>
        <v>0</v>
      </c>
      <c r="L288" s="8">
        <f>G288*3.7%</f>
        <v>192400.00000000003</v>
      </c>
      <c r="M288" s="8">
        <f>G288*2%</f>
        <v>104000</v>
      </c>
      <c r="N288" s="8">
        <f>G288*4%</f>
        <v>208000</v>
      </c>
      <c r="O288" s="8">
        <f>G288*1%</f>
        <v>52000</v>
      </c>
      <c r="P288">
        <v>3</v>
      </c>
      <c r="Q288" s="13">
        <f>P288*200000</f>
        <v>600000</v>
      </c>
      <c r="R288" s="8">
        <v>4000000</v>
      </c>
      <c r="S288" s="9">
        <f>8%*G288</f>
        <v>416000</v>
      </c>
    </row>
    <row r="289" spans="1:19" x14ac:dyDescent="0.3">
      <c r="A289">
        <v>287</v>
      </c>
      <c r="B289" s="10" t="s">
        <v>612</v>
      </c>
      <c r="C289" s="10" t="s">
        <v>613</v>
      </c>
      <c r="D289" s="11" t="str">
        <f>VLOOKUP(MID(B289,6,1),'Tabel Acuan'!$A$10:$B$17,2,0)</f>
        <v>Operations</v>
      </c>
      <c r="E289" t="str">
        <f>VLOOKUP(MID(B289,8,2),'Tabel Acuan'!$A$1:$B$6,2,0)</f>
        <v>Supervisor</v>
      </c>
      <c r="F289" s="12">
        <v>44722</v>
      </c>
      <c r="G289" s="8" cm="1">
        <f t="array" ref="G289">INDEX('Tabel Acuan'!$F$4:$F$39,
MATCH(1,('Tabel Acuan'!$D$4:$D$39='Data Gaji Pegawai'!D289)*('Tabel Acuan'!$E$4:$E$39='Data Gaji Pegawai'!E289),0))</f>
        <v>7700000</v>
      </c>
      <c r="H289">
        <f>I289/100000</f>
        <v>26</v>
      </c>
      <c r="I289" s="14">
        <v>2600000</v>
      </c>
      <c r="J289">
        <f ca="1">INT((TODAY()-F289)/30.417)</f>
        <v>48</v>
      </c>
      <c r="K289" s="13">
        <f t="shared" ca="1" si="4"/>
        <v>0</v>
      </c>
      <c r="L289" s="8">
        <f>G289*3.7%</f>
        <v>284900.00000000006</v>
      </c>
      <c r="M289" s="8">
        <f>G289*2%</f>
        <v>154000</v>
      </c>
      <c r="N289" s="8">
        <f>G289*4%</f>
        <v>308000</v>
      </c>
      <c r="O289" s="8">
        <f>G289*1%</f>
        <v>77000</v>
      </c>
      <c r="P289">
        <v>1</v>
      </c>
      <c r="Q289" s="13">
        <f>P289*200000</f>
        <v>200000</v>
      </c>
      <c r="R289" s="8">
        <v>750000</v>
      </c>
      <c r="S289" s="9">
        <f>8%*G289</f>
        <v>616000</v>
      </c>
    </row>
    <row r="290" spans="1:19" x14ac:dyDescent="0.3">
      <c r="A290">
        <v>288</v>
      </c>
      <c r="B290" s="10" t="s">
        <v>614</v>
      </c>
      <c r="C290" s="10" t="s">
        <v>615</v>
      </c>
      <c r="D290" s="11" t="str">
        <f>VLOOKUP(MID(B290,6,1),'Tabel Acuan'!$A$10:$B$17,2,0)</f>
        <v>Human Resources (HR)</v>
      </c>
      <c r="E290" t="str">
        <f>VLOOKUP(MID(B290,8,2),'Tabel Acuan'!$A$1:$B$6,2,0)</f>
        <v>Staff</v>
      </c>
      <c r="F290" s="12">
        <v>42949</v>
      </c>
      <c r="G290" s="8" cm="1">
        <f t="array" ref="G290">INDEX('Tabel Acuan'!$F$4:$F$39,
MATCH(1,('Tabel Acuan'!$D$4:$D$39='Data Gaji Pegawai'!D290)*('Tabel Acuan'!$E$4:$E$39='Data Gaji Pegawai'!E290),0))</f>
        <v>5000000</v>
      </c>
      <c r="H290">
        <f>I290/100000</f>
        <v>18</v>
      </c>
      <c r="I290" s="14">
        <v>1800000</v>
      </c>
      <c r="J290">
        <f ca="1">INT((TODAY()-F290)/30.417)</f>
        <v>107</v>
      </c>
      <c r="K290" s="13">
        <f t="shared" ca="1" si="4"/>
        <v>0</v>
      </c>
      <c r="L290" s="8">
        <f>G290*3.7%</f>
        <v>185000.00000000003</v>
      </c>
      <c r="M290" s="8">
        <f>G290*2%</f>
        <v>100000</v>
      </c>
      <c r="N290" s="8">
        <f>G290*4%</f>
        <v>200000</v>
      </c>
      <c r="O290" s="8">
        <f>G290*1%</f>
        <v>50000</v>
      </c>
      <c r="P290">
        <v>4</v>
      </c>
      <c r="Q290" s="13">
        <f>P290*200000</f>
        <v>800000</v>
      </c>
      <c r="R290" s="8">
        <v>0</v>
      </c>
      <c r="S290" s="9">
        <f>8%*G290</f>
        <v>400000</v>
      </c>
    </row>
    <row r="291" spans="1:19" x14ac:dyDescent="0.3">
      <c r="A291">
        <v>289</v>
      </c>
      <c r="B291" s="10" t="s">
        <v>616</v>
      </c>
      <c r="C291" s="10" t="s">
        <v>617</v>
      </c>
      <c r="D291" s="11" t="str">
        <f>VLOOKUP(MID(B291,6,1),'Tabel Acuan'!$A$10:$B$17,2,0)</f>
        <v>Information Technology (IT)</v>
      </c>
      <c r="E291" t="str">
        <f>VLOOKUP(MID(B291,8,2),'Tabel Acuan'!$A$1:$B$6,2,0)</f>
        <v>Senior Staff</v>
      </c>
      <c r="F291" s="12">
        <v>43382</v>
      </c>
      <c r="G291" s="8" cm="1">
        <f t="array" ref="G291">INDEX('Tabel Acuan'!$F$4:$F$39,
MATCH(1,('Tabel Acuan'!$D$4:$D$39='Data Gaji Pegawai'!D291)*('Tabel Acuan'!$E$4:$E$39='Data Gaji Pegawai'!E291),0))</f>
        <v>7500000</v>
      </c>
      <c r="H291">
        <f>I291/100000</f>
        <v>41</v>
      </c>
      <c r="I291" s="14">
        <v>4100000</v>
      </c>
      <c r="J291">
        <f ca="1">INT((TODAY()-F291)/30.417)</f>
        <v>92</v>
      </c>
      <c r="K291" s="13">
        <f t="shared" ca="1" si="4"/>
        <v>0</v>
      </c>
      <c r="L291" s="8">
        <f>G291*3.7%</f>
        <v>277500.00000000006</v>
      </c>
      <c r="M291" s="8">
        <f>G291*2%</f>
        <v>150000</v>
      </c>
      <c r="N291" s="8">
        <f>G291*4%</f>
        <v>300000</v>
      </c>
      <c r="O291" s="8">
        <f>G291*1%</f>
        <v>75000</v>
      </c>
      <c r="P291">
        <v>10</v>
      </c>
      <c r="Q291" s="13">
        <f>P291*200000</f>
        <v>2000000</v>
      </c>
      <c r="R291" s="8">
        <v>0</v>
      </c>
      <c r="S291" s="9">
        <f>8%*G291</f>
        <v>600000</v>
      </c>
    </row>
    <row r="292" spans="1:19" x14ac:dyDescent="0.3">
      <c r="A292">
        <v>290</v>
      </c>
      <c r="B292" s="10" t="s">
        <v>618</v>
      </c>
      <c r="C292" s="10" t="s">
        <v>619</v>
      </c>
      <c r="D292" s="11" t="str">
        <f>VLOOKUP(MID(B292,6,1),'Tabel Acuan'!$A$10:$B$17,2,0)</f>
        <v>Sales</v>
      </c>
      <c r="E292" t="str">
        <f>VLOOKUP(MID(B292,8,2),'Tabel Acuan'!$A$1:$B$6,2,0)</f>
        <v>Senior Staff</v>
      </c>
      <c r="F292" s="12">
        <v>44648</v>
      </c>
      <c r="G292" s="8" cm="1">
        <f t="array" ref="G292">INDEX('Tabel Acuan'!$F$4:$F$39,
MATCH(1,('Tabel Acuan'!$D$4:$D$39='Data Gaji Pegawai'!D292)*('Tabel Acuan'!$E$4:$E$39='Data Gaji Pegawai'!E292),0))</f>
        <v>6000000</v>
      </c>
      <c r="H292">
        <f>I292/100000</f>
        <v>46</v>
      </c>
      <c r="I292" s="14">
        <v>4600000</v>
      </c>
      <c r="J292">
        <f ca="1">INT((TODAY()-F292)/30.417)</f>
        <v>51</v>
      </c>
      <c r="K292" s="13">
        <f t="shared" ca="1" si="4"/>
        <v>0</v>
      </c>
      <c r="L292" s="8">
        <f>G292*3.7%</f>
        <v>222000.00000000003</v>
      </c>
      <c r="M292" s="8">
        <f>G292*2%</f>
        <v>120000</v>
      </c>
      <c r="N292" s="8">
        <f>G292*4%</f>
        <v>240000</v>
      </c>
      <c r="O292" s="8">
        <f>G292*1%</f>
        <v>60000</v>
      </c>
      <c r="P292">
        <v>11</v>
      </c>
      <c r="Q292" s="13">
        <f>P292*200000</f>
        <v>2200000</v>
      </c>
      <c r="R292" s="8">
        <v>0</v>
      </c>
      <c r="S292" s="9">
        <f>8%*G292</f>
        <v>480000</v>
      </c>
    </row>
    <row r="293" spans="1:19" x14ac:dyDescent="0.3">
      <c r="A293">
        <v>291</v>
      </c>
      <c r="B293" s="10" t="s">
        <v>620</v>
      </c>
      <c r="C293" s="10" t="s">
        <v>621</v>
      </c>
      <c r="D293" s="11" t="str">
        <f>VLOOKUP(MID(B293,6,1),'Tabel Acuan'!$A$10:$B$17,2,0)</f>
        <v>Information Technology (IT)</v>
      </c>
      <c r="E293" t="str">
        <f>VLOOKUP(MID(B293,8,2),'Tabel Acuan'!$A$1:$B$6,2,0)</f>
        <v>Staff</v>
      </c>
      <c r="F293" s="12">
        <v>44957</v>
      </c>
      <c r="G293" s="8" cm="1">
        <f t="array" ref="G293">INDEX('Tabel Acuan'!$F$4:$F$39,
MATCH(1,('Tabel Acuan'!$D$4:$D$39='Data Gaji Pegawai'!D293)*('Tabel Acuan'!$E$4:$E$39='Data Gaji Pegawai'!E293),0))</f>
        <v>6000000</v>
      </c>
      <c r="H293">
        <f>I293/100000</f>
        <v>33</v>
      </c>
      <c r="I293" s="14">
        <v>3300000</v>
      </c>
      <c r="J293">
        <f ca="1">INT((TODAY()-F293)/30.417)</f>
        <v>41</v>
      </c>
      <c r="K293" s="13">
        <f t="shared" ca="1" si="4"/>
        <v>0</v>
      </c>
      <c r="L293" s="8">
        <f>G293*3.7%</f>
        <v>222000.00000000003</v>
      </c>
      <c r="M293" s="8">
        <f>G293*2%</f>
        <v>120000</v>
      </c>
      <c r="N293" s="8">
        <f>G293*4%</f>
        <v>240000</v>
      </c>
      <c r="O293" s="8">
        <f>G293*1%</f>
        <v>60000</v>
      </c>
      <c r="P293">
        <v>1</v>
      </c>
      <c r="Q293" s="13">
        <f>P293*200000</f>
        <v>200000</v>
      </c>
      <c r="R293" s="8">
        <v>300000</v>
      </c>
      <c r="S293" s="9">
        <f>8%*G293</f>
        <v>480000</v>
      </c>
    </row>
    <row r="294" spans="1:19" x14ac:dyDescent="0.3">
      <c r="A294">
        <v>292</v>
      </c>
      <c r="B294" s="10" t="s">
        <v>622</v>
      </c>
      <c r="C294" s="10" t="s">
        <v>623</v>
      </c>
      <c r="D294" s="11" t="str">
        <f>VLOOKUP(MID(B294,6,1),'Tabel Acuan'!$A$10:$B$17,2,0)</f>
        <v>Human Resources (HR)</v>
      </c>
      <c r="E294" t="str">
        <f>VLOOKUP(MID(B294,8,2),'Tabel Acuan'!$A$1:$B$6,2,0)</f>
        <v>Supervisor</v>
      </c>
      <c r="F294" s="12">
        <v>45980</v>
      </c>
      <c r="G294" s="8" cm="1">
        <f t="array" ref="G294">INDEX('Tabel Acuan'!$F$4:$F$39,
MATCH(1,('Tabel Acuan'!$D$4:$D$39='Data Gaji Pegawai'!D294)*('Tabel Acuan'!$E$4:$E$39='Data Gaji Pegawai'!E294),0))</f>
        <v>7250000</v>
      </c>
      <c r="H294">
        <f>I294/100000</f>
        <v>14</v>
      </c>
      <c r="I294" s="14">
        <v>1400000</v>
      </c>
      <c r="J294">
        <f ca="1">INT((TODAY()-F294)/30.417)</f>
        <v>7</v>
      </c>
      <c r="K294" s="13">
        <f t="shared" ca="1" si="4"/>
        <v>0</v>
      </c>
      <c r="L294" s="8">
        <f>G294*3.7%</f>
        <v>268250.00000000006</v>
      </c>
      <c r="M294" s="8">
        <f>G294*2%</f>
        <v>145000</v>
      </c>
      <c r="N294" s="8">
        <f>G294*4%</f>
        <v>290000</v>
      </c>
      <c r="O294" s="8">
        <f>G294*1%</f>
        <v>72500</v>
      </c>
      <c r="P294">
        <v>2</v>
      </c>
      <c r="Q294" s="13">
        <f>P294*200000</f>
        <v>400000</v>
      </c>
      <c r="R294" s="8">
        <v>250000</v>
      </c>
      <c r="S294" s="9">
        <f>8%*G294</f>
        <v>580000</v>
      </c>
    </row>
    <row r="295" spans="1:19" x14ac:dyDescent="0.3">
      <c r="A295">
        <v>293</v>
      </c>
      <c r="B295" s="10" t="s">
        <v>624</v>
      </c>
      <c r="C295" s="10" t="s">
        <v>625</v>
      </c>
      <c r="D295" s="11" t="str">
        <f>VLOOKUP(MID(B295,6,1),'Tabel Acuan'!$A$10:$B$17,2,0)</f>
        <v>Marketing</v>
      </c>
      <c r="E295" t="str">
        <f>VLOOKUP(MID(B295,8,2),'Tabel Acuan'!$A$1:$B$6,2,0)</f>
        <v>Senior Staff</v>
      </c>
      <c r="F295" s="12">
        <v>43427</v>
      </c>
      <c r="G295" s="8" cm="1">
        <f t="array" ref="G295">INDEX('Tabel Acuan'!$F$4:$F$39,
MATCH(1,('Tabel Acuan'!$D$4:$D$39='Data Gaji Pegawai'!D295)*('Tabel Acuan'!$E$4:$E$39='Data Gaji Pegawai'!E295),0))</f>
        <v>6400000</v>
      </c>
      <c r="H295">
        <f>I295/100000</f>
        <v>42</v>
      </c>
      <c r="I295" s="14">
        <v>4200000</v>
      </c>
      <c r="J295">
        <f ca="1">INT((TODAY()-F295)/30.417)</f>
        <v>91</v>
      </c>
      <c r="K295" s="13">
        <f t="shared" ca="1" si="4"/>
        <v>0</v>
      </c>
      <c r="L295" s="8">
        <f>G295*3.7%</f>
        <v>236800.00000000003</v>
      </c>
      <c r="M295" s="8">
        <f>G295*2%</f>
        <v>128000</v>
      </c>
      <c r="N295" s="8">
        <f>G295*4%</f>
        <v>256000</v>
      </c>
      <c r="O295" s="8">
        <f>G295*1%</f>
        <v>64000</v>
      </c>
      <c r="P295">
        <v>15</v>
      </c>
      <c r="Q295" s="13">
        <f>P295*200000</f>
        <v>3000000</v>
      </c>
      <c r="R295" s="8">
        <v>250000</v>
      </c>
      <c r="S295" s="9">
        <f>8%*G295</f>
        <v>512000</v>
      </c>
    </row>
    <row r="296" spans="1:19" x14ac:dyDescent="0.3">
      <c r="A296">
        <v>294</v>
      </c>
      <c r="B296" s="10" t="s">
        <v>626</v>
      </c>
      <c r="C296" s="10" t="s">
        <v>627</v>
      </c>
      <c r="D296" s="11" t="str">
        <f>VLOOKUP(MID(B296,6,1),'Tabel Acuan'!$A$10:$B$17,2,0)</f>
        <v>Marketing</v>
      </c>
      <c r="E296" t="str">
        <f>VLOOKUP(MID(B296,8,2),'Tabel Acuan'!$A$1:$B$6,2,0)</f>
        <v>Senior Staff</v>
      </c>
      <c r="F296" s="12">
        <v>42276</v>
      </c>
      <c r="G296" s="8" cm="1">
        <f t="array" ref="G296">INDEX('Tabel Acuan'!$F$4:$F$39,
MATCH(1,('Tabel Acuan'!$D$4:$D$39='Data Gaji Pegawai'!D296)*('Tabel Acuan'!$E$4:$E$39='Data Gaji Pegawai'!E296),0))</f>
        <v>6400000</v>
      </c>
      <c r="H296">
        <f>I296/100000</f>
        <v>46</v>
      </c>
      <c r="I296" s="14">
        <v>4600000</v>
      </c>
      <c r="J296">
        <f ca="1">INT((TODAY()-F296)/30.417)</f>
        <v>129</v>
      </c>
      <c r="K296" s="13">
        <f t="shared" ca="1" si="4"/>
        <v>0</v>
      </c>
      <c r="L296" s="8">
        <f>G296*3.7%</f>
        <v>236800.00000000003</v>
      </c>
      <c r="M296" s="8">
        <f>G296*2%</f>
        <v>128000</v>
      </c>
      <c r="N296" s="8">
        <f>G296*4%</f>
        <v>256000</v>
      </c>
      <c r="O296" s="8">
        <f>G296*1%</f>
        <v>64000</v>
      </c>
      <c r="P296">
        <v>8</v>
      </c>
      <c r="Q296" s="13">
        <f>P296*200000</f>
        <v>1600000</v>
      </c>
      <c r="R296" s="8">
        <v>1000000</v>
      </c>
      <c r="S296" s="9">
        <f>8%*G296</f>
        <v>512000</v>
      </c>
    </row>
    <row r="297" spans="1:19" x14ac:dyDescent="0.3">
      <c r="A297">
        <v>295</v>
      </c>
      <c r="B297" s="10" t="s">
        <v>628</v>
      </c>
      <c r="C297" s="10" t="s">
        <v>629</v>
      </c>
      <c r="D297" s="11" t="str">
        <f>VLOOKUP(MID(B297,6,1),'Tabel Acuan'!$A$10:$B$17,2,0)</f>
        <v>Marketing</v>
      </c>
      <c r="E297" t="str">
        <f>VLOOKUP(MID(B297,8,2),'Tabel Acuan'!$A$1:$B$6,2,0)</f>
        <v>Supervisor</v>
      </c>
      <c r="F297" s="12">
        <v>42096</v>
      </c>
      <c r="G297" s="8" cm="1">
        <f t="array" ref="G297">INDEX('Tabel Acuan'!$F$4:$F$39,
MATCH(1,('Tabel Acuan'!$D$4:$D$39='Data Gaji Pegawai'!D297)*('Tabel Acuan'!$E$4:$E$39='Data Gaji Pegawai'!E297),0))</f>
        <v>7800000</v>
      </c>
      <c r="H297">
        <f>I297/100000</f>
        <v>6</v>
      </c>
      <c r="I297" s="14">
        <v>600000</v>
      </c>
      <c r="J297">
        <f ca="1">INT((TODAY()-F297)/30.417)</f>
        <v>135</v>
      </c>
      <c r="K297" s="13">
        <f t="shared" ca="1" si="4"/>
        <v>0</v>
      </c>
      <c r="L297" s="8">
        <f>G297*3.7%</f>
        <v>288600.00000000006</v>
      </c>
      <c r="M297" s="8">
        <f>G297*2%</f>
        <v>156000</v>
      </c>
      <c r="N297" s="8">
        <f>G297*4%</f>
        <v>312000</v>
      </c>
      <c r="O297" s="8">
        <f>G297*1%</f>
        <v>78000</v>
      </c>
      <c r="P297">
        <v>3</v>
      </c>
      <c r="Q297" s="13">
        <f>P297*200000</f>
        <v>600000</v>
      </c>
      <c r="R297" s="8">
        <v>750000</v>
      </c>
      <c r="S297" s="9">
        <f>8%*G297</f>
        <v>624000</v>
      </c>
    </row>
    <row r="298" spans="1:19" x14ac:dyDescent="0.3">
      <c r="A298">
        <v>296</v>
      </c>
      <c r="B298" s="10" t="s">
        <v>630</v>
      </c>
      <c r="C298" s="10" t="s">
        <v>631</v>
      </c>
      <c r="D298" s="11" t="str">
        <f>VLOOKUP(MID(B298,6,1),'Tabel Acuan'!$A$10:$B$17,2,0)</f>
        <v>Marketing</v>
      </c>
      <c r="E298" t="str">
        <f>VLOOKUP(MID(B298,8,2),'Tabel Acuan'!$A$1:$B$6,2,0)</f>
        <v>Senior Staff</v>
      </c>
      <c r="F298" s="12">
        <v>43304</v>
      </c>
      <c r="G298" s="8" cm="1">
        <f t="array" ref="G298">INDEX('Tabel Acuan'!$F$4:$F$39,
MATCH(1,('Tabel Acuan'!$D$4:$D$39='Data Gaji Pegawai'!D298)*('Tabel Acuan'!$E$4:$E$39='Data Gaji Pegawai'!E298),0))</f>
        <v>6400000</v>
      </c>
      <c r="H298">
        <f>I298/100000</f>
        <v>5</v>
      </c>
      <c r="I298" s="14">
        <v>500000</v>
      </c>
      <c r="J298">
        <f ca="1">INT((TODAY()-F298)/30.417)</f>
        <v>95</v>
      </c>
      <c r="K298" s="13">
        <f t="shared" ca="1" si="4"/>
        <v>0</v>
      </c>
      <c r="L298" s="8">
        <f>G298*3.7%</f>
        <v>236800.00000000003</v>
      </c>
      <c r="M298" s="8">
        <f>G298*2%</f>
        <v>128000</v>
      </c>
      <c r="N298" s="8">
        <f>G298*4%</f>
        <v>256000</v>
      </c>
      <c r="O298" s="8">
        <f>G298*1%</f>
        <v>64000</v>
      </c>
      <c r="P298">
        <v>11</v>
      </c>
      <c r="Q298" s="13">
        <f>P298*200000</f>
        <v>2200000</v>
      </c>
      <c r="R298" s="8">
        <v>2000000</v>
      </c>
      <c r="S298" s="9">
        <f>8%*G298</f>
        <v>512000</v>
      </c>
    </row>
    <row r="299" spans="1:19" x14ac:dyDescent="0.3">
      <c r="A299">
        <v>297</v>
      </c>
      <c r="B299" s="10" t="s">
        <v>632</v>
      </c>
      <c r="C299" s="10" t="s">
        <v>633</v>
      </c>
      <c r="D299" s="11" t="str">
        <f>VLOOKUP(MID(B299,6,1),'Tabel Acuan'!$A$10:$B$17,2,0)</f>
        <v>Finance</v>
      </c>
      <c r="E299" t="str">
        <f>VLOOKUP(MID(B299,8,2),'Tabel Acuan'!$A$1:$B$6,2,0)</f>
        <v>Manager</v>
      </c>
      <c r="F299" s="12">
        <v>45642</v>
      </c>
      <c r="G299" s="8" cm="1">
        <f t="array" ref="G299">INDEX('Tabel Acuan'!$F$4:$F$39,
MATCH(1,('Tabel Acuan'!$D$4:$D$39='Data Gaji Pegawai'!D299)*('Tabel Acuan'!$E$4:$E$39='Data Gaji Pegawai'!E299),0))</f>
        <v>13500000</v>
      </c>
      <c r="H299">
        <f>I299/100000</f>
        <v>52</v>
      </c>
      <c r="I299" s="14">
        <v>5200000</v>
      </c>
      <c r="J299">
        <f ca="1">INT((TODAY()-F299)/30.417)</f>
        <v>18</v>
      </c>
      <c r="K299" s="13">
        <f t="shared" ca="1" si="4"/>
        <v>0</v>
      </c>
      <c r="L299" s="8">
        <f>G299*3.7%</f>
        <v>499500.00000000006</v>
      </c>
      <c r="M299" s="8">
        <f>G299*2%</f>
        <v>270000</v>
      </c>
      <c r="N299" s="8">
        <f>G299*4%</f>
        <v>540000</v>
      </c>
      <c r="O299" s="8">
        <f>G299*1%</f>
        <v>135000</v>
      </c>
      <c r="P299">
        <v>2</v>
      </c>
      <c r="Q299" s="13">
        <f>P299*200000</f>
        <v>400000</v>
      </c>
      <c r="R299" s="8">
        <v>3500000</v>
      </c>
      <c r="S299" s="9">
        <f>8%*G299</f>
        <v>1080000</v>
      </c>
    </row>
    <row r="300" spans="1:19" x14ac:dyDescent="0.3">
      <c r="A300">
        <v>298</v>
      </c>
      <c r="B300" s="10" t="s">
        <v>634</v>
      </c>
      <c r="C300" s="10" t="s">
        <v>635</v>
      </c>
      <c r="D300" s="11" t="str">
        <f>VLOOKUP(MID(B300,6,1),'Tabel Acuan'!$A$10:$B$17,2,0)</f>
        <v>Human Resources (HR)</v>
      </c>
      <c r="E300" t="str">
        <f>VLOOKUP(MID(B300,8,2),'Tabel Acuan'!$A$1:$B$6,2,0)</f>
        <v>Senior Staff</v>
      </c>
      <c r="F300" s="12">
        <v>42248</v>
      </c>
      <c r="G300" s="8" cm="1">
        <f t="array" ref="G300">INDEX('Tabel Acuan'!$F$4:$F$39,
MATCH(1,('Tabel Acuan'!$D$4:$D$39='Data Gaji Pegawai'!D300)*('Tabel Acuan'!$E$4:$E$39='Data Gaji Pegawai'!E300),0))</f>
        <v>6000000</v>
      </c>
      <c r="H300">
        <f>I300/100000</f>
        <v>3</v>
      </c>
      <c r="I300" s="14">
        <v>300000</v>
      </c>
      <c r="J300">
        <f ca="1">INT((TODAY()-F300)/30.417)</f>
        <v>130</v>
      </c>
      <c r="K300" s="13">
        <f t="shared" ca="1" si="4"/>
        <v>0</v>
      </c>
      <c r="L300" s="8">
        <f>G300*3.7%</f>
        <v>222000.00000000003</v>
      </c>
      <c r="M300" s="8">
        <f>G300*2%</f>
        <v>120000</v>
      </c>
      <c r="N300" s="8">
        <f>G300*4%</f>
        <v>240000</v>
      </c>
      <c r="O300" s="8">
        <f>G300*1%</f>
        <v>60000</v>
      </c>
      <c r="P300">
        <v>0</v>
      </c>
      <c r="Q300" s="13">
        <f>P300*200000</f>
        <v>0</v>
      </c>
      <c r="R300" s="8">
        <v>300000</v>
      </c>
      <c r="S300" s="9">
        <f>8%*G300</f>
        <v>480000</v>
      </c>
    </row>
    <row r="301" spans="1:19" x14ac:dyDescent="0.3">
      <c r="A301">
        <v>299</v>
      </c>
      <c r="B301" s="10" t="s">
        <v>636</v>
      </c>
      <c r="C301" s="10" t="s">
        <v>637</v>
      </c>
      <c r="D301" s="11" t="str">
        <f>VLOOKUP(MID(B301,6,1),'Tabel Acuan'!$A$10:$B$17,2,0)</f>
        <v>Operations</v>
      </c>
      <c r="E301" t="str">
        <f>VLOOKUP(MID(B301,8,2),'Tabel Acuan'!$A$1:$B$6,2,0)</f>
        <v>Senior Staff</v>
      </c>
      <c r="F301" s="12">
        <v>44610</v>
      </c>
      <c r="G301" s="8" cm="1">
        <f t="array" ref="G301">INDEX('Tabel Acuan'!$F$4:$F$39,
MATCH(1,('Tabel Acuan'!$D$4:$D$39='Data Gaji Pegawai'!D301)*('Tabel Acuan'!$E$4:$E$39='Data Gaji Pegawai'!E301),0))</f>
        <v>6300000</v>
      </c>
      <c r="H301">
        <f>I301/100000</f>
        <v>57</v>
      </c>
      <c r="I301" s="14">
        <v>5700000</v>
      </c>
      <c r="J301">
        <f ca="1">INT((TODAY()-F301)/30.417)</f>
        <v>52</v>
      </c>
      <c r="K301" s="13">
        <f t="shared" ca="1" si="4"/>
        <v>0</v>
      </c>
      <c r="L301" s="8">
        <f>G301*3.7%</f>
        <v>233100.00000000003</v>
      </c>
      <c r="M301" s="8">
        <f>G301*2%</f>
        <v>126000</v>
      </c>
      <c r="N301" s="8">
        <f>G301*4%</f>
        <v>252000</v>
      </c>
      <c r="O301" s="8">
        <f>G301*1%</f>
        <v>63000</v>
      </c>
      <c r="P301">
        <v>1</v>
      </c>
      <c r="Q301" s="13">
        <f>P301*200000</f>
        <v>200000</v>
      </c>
      <c r="R301" s="8">
        <v>0</v>
      </c>
      <c r="S301" s="9">
        <f>8%*G301</f>
        <v>504000</v>
      </c>
    </row>
    <row r="302" spans="1:19" x14ac:dyDescent="0.3">
      <c r="A302">
        <v>300</v>
      </c>
      <c r="B302" s="10" t="s">
        <v>638</v>
      </c>
      <c r="C302" s="10" t="s">
        <v>639</v>
      </c>
      <c r="D302" s="11" t="str">
        <f>VLOOKUP(MID(B302,6,1),'Tabel Acuan'!$A$10:$B$17,2,0)</f>
        <v>Information Technology (IT)</v>
      </c>
      <c r="E302" t="str">
        <f>VLOOKUP(MID(B302,8,2),'Tabel Acuan'!$A$1:$B$6,2,0)</f>
        <v>Staff</v>
      </c>
      <c r="F302" s="12">
        <v>45435</v>
      </c>
      <c r="G302" s="8" cm="1">
        <f t="array" ref="G302">INDEX('Tabel Acuan'!$F$4:$F$39,
MATCH(1,('Tabel Acuan'!$D$4:$D$39='Data Gaji Pegawai'!D302)*('Tabel Acuan'!$E$4:$E$39='Data Gaji Pegawai'!E302),0))</f>
        <v>6000000</v>
      </c>
      <c r="H302">
        <f>I302/100000</f>
        <v>57</v>
      </c>
      <c r="I302" s="14">
        <v>5700000</v>
      </c>
      <c r="J302">
        <f ca="1">INT((TODAY()-F302)/30.417)</f>
        <v>25</v>
      </c>
      <c r="K302" s="13">
        <f t="shared" ca="1" si="4"/>
        <v>0</v>
      </c>
      <c r="L302" s="8">
        <f>G302*3.7%</f>
        <v>222000.00000000003</v>
      </c>
      <c r="M302" s="8">
        <f>G302*2%</f>
        <v>120000</v>
      </c>
      <c r="N302" s="8">
        <f>G302*4%</f>
        <v>240000</v>
      </c>
      <c r="O302" s="8">
        <f>G302*1%</f>
        <v>60000</v>
      </c>
      <c r="P302">
        <v>1</v>
      </c>
      <c r="Q302" s="13">
        <f>P302*200000</f>
        <v>200000</v>
      </c>
      <c r="R302" s="8">
        <v>0</v>
      </c>
      <c r="S302" s="9">
        <f>8%*G302</f>
        <v>480000</v>
      </c>
    </row>
    <row r="303" spans="1:19" x14ac:dyDescent="0.3">
      <c r="A303">
        <v>301</v>
      </c>
      <c r="B303" s="10" t="s">
        <v>640</v>
      </c>
      <c r="C303" s="10" t="s">
        <v>641</v>
      </c>
      <c r="D303" s="11" t="str">
        <f>VLOOKUP(MID(B303,6,1),'Tabel Acuan'!$A$10:$B$17,2,0)</f>
        <v>Human Resources (HR)</v>
      </c>
      <c r="E303" t="str">
        <f>VLOOKUP(MID(B303,8,2),'Tabel Acuan'!$A$1:$B$6,2,0)</f>
        <v>Manager</v>
      </c>
      <c r="F303" s="12">
        <v>44195</v>
      </c>
      <c r="G303" s="8" cm="1">
        <f t="array" ref="G303">INDEX('Tabel Acuan'!$F$4:$F$39,
MATCH(1,('Tabel Acuan'!$D$4:$D$39='Data Gaji Pegawai'!D303)*('Tabel Acuan'!$E$4:$E$39='Data Gaji Pegawai'!E303),0))</f>
        <v>12000000</v>
      </c>
      <c r="H303">
        <f>I303/100000</f>
        <v>52</v>
      </c>
      <c r="I303" s="14">
        <v>5200000</v>
      </c>
      <c r="J303">
        <f ca="1">INT((TODAY()-F303)/30.417)</f>
        <v>66</v>
      </c>
      <c r="K303" s="13">
        <f t="shared" ca="1" si="4"/>
        <v>0</v>
      </c>
      <c r="L303" s="8">
        <f>G303*3.7%</f>
        <v>444000.00000000006</v>
      </c>
      <c r="M303" s="8">
        <f>G303*2%</f>
        <v>240000</v>
      </c>
      <c r="N303" s="8">
        <f>G303*4%</f>
        <v>480000</v>
      </c>
      <c r="O303" s="8">
        <f>G303*1%</f>
        <v>120000</v>
      </c>
      <c r="P303">
        <v>12</v>
      </c>
      <c r="Q303" s="13">
        <f>P303*200000</f>
        <v>2400000</v>
      </c>
      <c r="R303" s="8">
        <v>1000000</v>
      </c>
      <c r="S303" s="9">
        <f>8%*G303</f>
        <v>960000</v>
      </c>
    </row>
    <row r="304" spans="1:19" x14ac:dyDescent="0.3">
      <c r="A304">
        <v>302</v>
      </c>
      <c r="B304" s="10" t="s">
        <v>642</v>
      </c>
      <c r="C304" s="10" t="s">
        <v>643</v>
      </c>
      <c r="D304" s="11" t="str">
        <f>VLOOKUP(MID(B304,6,1),'Tabel Acuan'!$A$10:$B$17,2,0)</f>
        <v>Marketing</v>
      </c>
      <c r="E304" t="str">
        <f>VLOOKUP(MID(B304,8,2),'Tabel Acuan'!$A$1:$B$6,2,0)</f>
        <v>Staff</v>
      </c>
      <c r="F304" s="12">
        <v>43012</v>
      </c>
      <c r="G304" s="8" cm="1">
        <f t="array" ref="G304">INDEX('Tabel Acuan'!$F$4:$F$39,
MATCH(1,('Tabel Acuan'!$D$4:$D$39='Data Gaji Pegawai'!D304)*('Tabel Acuan'!$E$4:$E$39='Data Gaji Pegawai'!E304),0))</f>
        <v>5300000</v>
      </c>
      <c r="H304">
        <f>I304/100000</f>
        <v>21</v>
      </c>
      <c r="I304" s="14">
        <v>2100000</v>
      </c>
      <c r="J304">
        <f ca="1">INT((TODAY()-F304)/30.417)</f>
        <v>104</v>
      </c>
      <c r="K304" s="13">
        <f t="shared" ca="1" si="4"/>
        <v>0</v>
      </c>
      <c r="L304" s="8">
        <f>G304*3.7%</f>
        <v>196100.00000000003</v>
      </c>
      <c r="M304" s="8">
        <f>G304*2%</f>
        <v>106000</v>
      </c>
      <c r="N304" s="8">
        <f>G304*4%</f>
        <v>212000</v>
      </c>
      <c r="O304" s="8">
        <f>G304*1%</f>
        <v>53000</v>
      </c>
      <c r="P304">
        <v>12</v>
      </c>
      <c r="Q304" s="13">
        <f>P304*200000</f>
        <v>2400000</v>
      </c>
      <c r="R304" s="8">
        <v>500000</v>
      </c>
      <c r="S304" s="9">
        <f>8%*G304</f>
        <v>424000</v>
      </c>
    </row>
    <row r="305" spans="1:19" x14ac:dyDescent="0.3">
      <c r="A305">
        <v>303</v>
      </c>
      <c r="B305" s="10" t="s">
        <v>644</v>
      </c>
      <c r="C305" s="10" t="s">
        <v>645</v>
      </c>
      <c r="D305" s="11" t="str">
        <f>VLOOKUP(MID(B305,6,1),'Tabel Acuan'!$A$10:$B$17,2,0)</f>
        <v>Marketing</v>
      </c>
      <c r="E305" t="str">
        <f>VLOOKUP(MID(B305,8,2),'Tabel Acuan'!$A$1:$B$6,2,0)</f>
        <v>Supervisor</v>
      </c>
      <c r="F305" s="12">
        <v>42420</v>
      </c>
      <c r="G305" s="8" cm="1">
        <f t="array" ref="G305">INDEX('Tabel Acuan'!$F$4:$F$39,
MATCH(1,('Tabel Acuan'!$D$4:$D$39='Data Gaji Pegawai'!D305)*('Tabel Acuan'!$E$4:$E$39='Data Gaji Pegawai'!E305),0))</f>
        <v>7800000</v>
      </c>
      <c r="H305">
        <f>I305/100000</f>
        <v>27</v>
      </c>
      <c r="I305" s="14">
        <v>2700000</v>
      </c>
      <c r="J305">
        <f ca="1">INT((TODAY()-F305)/30.417)</f>
        <v>124</v>
      </c>
      <c r="K305" s="13">
        <f t="shared" ca="1" si="4"/>
        <v>0</v>
      </c>
      <c r="L305" s="8">
        <f>G305*3.7%</f>
        <v>288600.00000000006</v>
      </c>
      <c r="M305" s="8">
        <f>G305*2%</f>
        <v>156000</v>
      </c>
      <c r="N305" s="8">
        <f>G305*4%</f>
        <v>312000</v>
      </c>
      <c r="O305" s="8">
        <f>G305*1%</f>
        <v>78000</v>
      </c>
      <c r="P305">
        <v>7</v>
      </c>
      <c r="Q305" s="13">
        <f>P305*200000</f>
        <v>1400000</v>
      </c>
      <c r="R305" s="8">
        <v>1250000</v>
      </c>
      <c r="S305" s="9">
        <f>8%*G305</f>
        <v>624000</v>
      </c>
    </row>
    <row r="306" spans="1:19" x14ac:dyDescent="0.3">
      <c r="A306">
        <v>304</v>
      </c>
      <c r="B306" s="10" t="s">
        <v>646</v>
      </c>
      <c r="C306" s="10" t="s">
        <v>647</v>
      </c>
      <c r="D306" s="11" t="str">
        <f>VLOOKUP(MID(B306,6,1),'Tabel Acuan'!$A$10:$B$17,2,0)</f>
        <v>Operations</v>
      </c>
      <c r="E306" t="str">
        <f>VLOOKUP(MID(B306,8,2),'Tabel Acuan'!$A$1:$B$6,2,0)</f>
        <v>Senior Staff</v>
      </c>
      <c r="F306" s="12">
        <v>45459</v>
      </c>
      <c r="G306" s="8" cm="1">
        <f t="array" ref="G306">INDEX('Tabel Acuan'!$F$4:$F$39,
MATCH(1,('Tabel Acuan'!$D$4:$D$39='Data Gaji Pegawai'!D306)*('Tabel Acuan'!$E$4:$E$39='Data Gaji Pegawai'!E306),0))</f>
        <v>6300000</v>
      </c>
      <c r="H306">
        <f>I306/100000</f>
        <v>1</v>
      </c>
      <c r="I306" s="14">
        <v>100000</v>
      </c>
      <c r="J306">
        <f ca="1">INT((TODAY()-F306)/30.417)</f>
        <v>24</v>
      </c>
      <c r="K306" s="13">
        <f t="shared" ca="1" si="4"/>
        <v>0</v>
      </c>
      <c r="L306" s="8">
        <f>G306*3.7%</f>
        <v>233100.00000000003</v>
      </c>
      <c r="M306" s="8">
        <f>G306*2%</f>
        <v>126000</v>
      </c>
      <c r="N306" s="8">
        <f>G306*4%</f>
        <v>252000</v>
      </c>
      <c r="O306" s="8">
        <f>G306*1%</f>
        <v>63000</v>
      </c>
      <c r="P306">
        <v>8</v>
      </c>
      <c r="Q306" s="13">
        <f>P306*200000</f>
        <v>1600000</v>
      </c>
      <c r="R306" s="8">
        <v>2000000</v>
      </c>
      <c r="S306" s="9">
        <f>8%*G306</f>
        <v>504000</v>
      </c>
    </row>
    <row r="307" spans="1:19" x14ac:dyDescent="0.3">
      <c r="A307">
        <v>305</v>
      </c>
      <c r="B307" s="10" t="s">
        <v>648</v>
      </c>
      <c r="C307" s="10" t="s">
        <v>649</v>
      </c>
      <c r="D307" s="11" t="str">
        <f>VLOOKUP(MID(B307,6,1),'Tabel Acuan'!$A$10:$B$17,2,0)</f>
        <v>Finance</v>
      </c>
      <c r="E307" t="str">
        <f>VLOOKUP(MID(B307,8,2),'Tabel Acuan'!$A$1:$B$6,2,0)</f>
        <v>Staff</v>
      </c>
      <c r="F307" s="12">
        <v>44657</v>
      </c>
      <c r="G307" s="8" cm="1">
        <f t="array" ref="G307">INDEX('Tabel Acuan'!$F$4:$F$39,
MATCH(1,('Tabel Acuan'!$D$4:$D$39='Data Gaji Pegawai'!D307)*('Tabel Acuan'!$E$4:$E$39='Data Gaji Pegawai'!E307),0))</f>
        <v>5500000</v>
      </c>
      <c r="H307">
        <f>I307/100000</f>
        <v>43</v>
      </c>
      <c r="I307" s="14">
        <v>4300000</v>
      </c>
      <c r="J307">
        <f ca="1">INT((TODAY()-F307)/30.417)</f>
        <v>50</v>
      </c>
      <c r="K307" s="13">
        <f t="shared" ca="1" si="4"/>
        <v>0</v>
      </c>
      <c r="L307" s="8">
        <f>G307*3.7%</f>
        <v>203500.00000000003</v>
      </c>
      <c r="M307" s="8">
        <f>G307*2%</f>
        <v>110000</v>
      </c>
      <c r="N307" s="8">
        <f>G307*4%</f>
        <v>220000</v>
      </c>
      <c r="O307" s="8">
        <f>G307*1%</f>
        <v>55000</v>
      </c>
      <c r="P307">
        <v>12</v>
      </c>
      <c r="Q307" s="13">
        <f>P307*200000</f>
        <v>2400000</v>
      </c>
      <c r="R307" s="8">
        <v>0</v>
      </c>
      <c r="S307" s="9">
        <f>8%*G307</f>
        <v>440000</v>
      </c>
    </row>
    <row r="308" spans="1:19" x14ac:dyDescent="0.3">
      <c r="A308">
        <v>306</v>
      </c>
      <c r="B308" s="10" t="s">
        <v>650</v>
      </c>
      <c r="C308" s="10" t="s">
        <v>651</v>
      </c>
      <c r="D308" s="11" t="str">
        <f>VLOOKUP(MID(B308,6,1),'Tabel Acuan'!$A$10:$B$17,2,0)</f>
        <v>Logistics</v>
      </c>
      <c r="E308" t="str">
        <f>VLOOKUP(MID(B308,8,2),'Tabel Acuan'!$A$1:$B$6,2,0)</f>
        <v>Supervisor</v>
      </c>
      <c r="F308" s="12">
        <v>45334</v>
      </c>
      <c r="G308" s="8" cm="1">
        <f t="array" ref="G308">INDEX('Tabel Acuan'!$F$4:$F$39,
MATCH(1,('Tabel Acuan'!$D$4:$D$39='Data Gaji Pegawai'!D308)*('Tabel Acuan'!$E$4:$E$39='Data Gaji Pegawai'!E308),0))</f>
        <v>7500000</v>
      </c>
      <c r="H308">
        <f>I308/100000</f>
        <v>17</v>
      </c>
      <c r="I308" s="14">
        <v>1700000</v>
      </c>
      <c r="J308">
        <f ca="1">INT((TODAY()-F308)/30.417)</f>
        <v>28</v>
      </c>
      <c r="K308" s="13">
        <f t="shared" ca="1" si="4"/>
        <v>0</v>
      </c>
      <c r="L308" s="8">
        <f>G308*3.7%</f>
        <v>277500.00000000006</v>
      </c>
      <c r="M308" s="8">
        <f>G308*2%</f>
        <v>150000</v>
      </c>
      <c r="N308" s="8">
        <f>G308*4%</f>
        <v>300000</v>
      </c>
      <c r="O308" s="8">
        <f>G308*1%</f>
        <v>75000</v>
      </c>
      <c r="P308">
        <v>4</v>
      </c>
      <c r="Q308" s="13">
        <f>P308*200000</f>
        <v>800000</v>
      </c>
      <c r="R308" s="8">
        <v>5000000</v>
      </c>
      <c r="S308" s="9">
        <f>8%*G308</f>
        <v>600000</v>
      </c>
    </row>
    <row r="309" spans="1:19" x14ac:dyDescent="0.3">
      <c r="A309">
        <v>307</v>
      </c>
      <c r="B309" s="10" t="s">
        <v>652</v>
      </c>
      <c r="C309" s="10" t="s">
        <v>653</v>
      </c>
      <c r="D309" s="11" t="str">
        <f>VLOOKUP(MID(B309,6,1),'Tabel Acuan'!$A$10:$B$17,2,0)</f>
        <v>Finance</v>
      </c>
      <c r="E309" t="str">
        <f>VLOOKUP(MID(B309,8,2),'Tabel Acuan'!$A$1:$B$6,2,0)</f>
        <v>Supervisor</v>
      </c>
      <c r="F309" s="12">
        <v>45712</v>
      </c>
      <c r="G309" s="8" cm="1">
        <f t="array" ref="G309">INDEX('Tabel Acuan'!$F$4:$F$39,
MATCH(1,('Tabel Acuan'!$D$4:$D$39='Data Gaji Pegawai'!D309)*('Tabel Acuan'!$E$4:$E$39='Data Gaji Pegawai'!E309),0))</f>
        <v>8000000</v>
      </c>
      <c r="H309">
        <f>I309/100000</f>
        <v>5</v>
      </c>
      <c r="I309" s="14">
        <v>500000</v>
      </c>
      <c r="J309">
        <f ca="1">INT((TODAY()-F309)/30.417)</f>
        <v>16</v>
      </c>
      <c r="K309" s="13">
        <f t="shared" ca="1" si="4"/>
        <v>0</v>
      </c>
      <c r="L309" s="8">
        <f>G309*3.7%</f>
        <v>296000.00000000006</v>
      </c>
      <c r="M309" s="8">
        <f>G309*2%</f>
        <v>160000</v>
      </c>
      <c r="N309" s="8">
        <f>G309*4%</f>
        <v>320000</v>
      </c>
      <c r="O309" s="8">
        <f>G309*1%</f>
        <v>80000</v>
      </c>
      <c r="P309">
        <v>0</v>
      </c>
      <c r="Q309" s="13">
        <f>P309*200000</f>
        <v>0</v>
      </c>
      <c r="R309" s="8">
        <v>2000000</v>
      </c>
      <c r="S309" s="9">
        <f>8%*G309</f>
        <v>640000</v>
      </c>
    </row>
    <row r="310" spans="1:19" x14ac:dyDescent="0.3">
      <c r="A310">
        <v>308</v>
      </c>
      <c r="B310" s="10" t="s">
        <v>654</v>
      </c>
      <c r="C310" s="10" t="s">
        <v>655</v>
      </c>
      <c r="D310" s="11" t="str">
        <f>VLOOKUP(MID(B310,6,1),'Tabel Acuan'!$A$10:$B$17,2,0)</f>
        <v>Operations</v>
      </c>
      <c r="E310" t="str">
        <f>VLOOKUP(MID(B310,8,2),'Tabel Acuan'!$A$1:$B$6,2,0)</f>
        <v>Staff</v>
      </c>
      <c r="F310" s="12">
        <v>43926</v>
      </c>
      <c r="G310" s="8" cm="1">
        <f t="array" ref="G310">INDEX('Tabel Acuan'!$F$4:$F$39,
MATCH(1,('Tabel Acuan'!$D$4:$D$39='Data Gaji Pegawai'!D310)*('Tabel Acuan'!$E$4:$E$39='Data Gaji Pegawai'!E310),0))</f>
        <v>5200000</v>
      </c>
      <c r="H310">
        <f>I310/100000</f>
        <v>27</v>
      </c>
      <c r="I310" s="14">
        <v>2700000</v>
      </c>
      <c r="J310">
        <f ca="1">INT((TODAY()-F310)/30.417)</f>
        <v>74</v>
      </c>
      <c r="K310" s="13">
        <f t="shared" ca="1" si="4"/>
        <v>0</v>
      </c>
      <c r="L310" s="8">
        <f>G310*3.7%</f>
        <v>192400.00000000003</v>
      </c>
      <c r="M310" s="8">
        <f>G310*2%</f>
        <v>104000</v>
      </c>
      <c r="N310" s="8">
        <f>G310*4%</f>
        <v>208000</v>
      </c>
      <c r="O310" s="8">
        <f>G310*1%</f>
        <v>52000</v>
      </c>
      <c r="P310">
        <v>14</v>
      </c>
      <c r="Q310" s="13">
        <f>P310*200000</f>
        <v>2800000</v>
      </c>
      <c r="R310" s="8">
        <v>2500000</v>
      </c>
      <c r="S310" s="9">
        <f>8%*G310</f>
        <v>416000</v>
      </c>
    </row>
    <row r="311" spans="1:19" x14ac:dyDescent="0.3">
      <c r="A311">
        <v>309</v>
      </c>
      <c r="B311" s="10" t="s">
        <v>656</v>
      </c>
      <c r="C311" s="10" t="s">
        <v>657</v>
      </c>
      <c r="D311" s="11" t="str">
        <f>VLOOKUP(MID(B311,6,1),'Tabel Acuan'!$A$10:$B$17,2,0)</f>
        <v>Human Resources (HR)</v>
      </c>
      <c r="E311" t="str">
        <f>VLOOKUP(MID(B311,8,2),'Tabel Acuan'!$A$1:$B$6,2,0)</f>
        <v>Staff</v>
      </c>
      <c r="F311" s="12">
        <v>44244</v>
      </c>
      <c r="G311" s="8" cm="1">
        <f t="array" ref="G311">INDEX('Tabel Acuan'!$F$4:$F$39,
MATCH(1,('Tabel Acuan'!$D$4:$D$39='Data Gaji Pegawai'!D311)*('Tabel Acuan'!$E$4:$E$39='Data Gaji Pegawai'!E311),0))</f>
        <v>5000000</v>
      </c>
      <c r="H311">
        <f>I311/100000</f>
        <v>38</v>
      </c>
      <c r="I311" s="14">
        <v>3800000</v>
      </c>
      <c r="J311">
        <f ca="1">INT((TODAY()-F311)/30.417)</f>
        <v>64</v>
      </c>
      <c r="K311" s="13">
        <f t="shared" ca="1" si="4"/>
        <v>0</v>
      </c>
      <c r="L311" s="8">
        <f>G311*3.7%</f>
        <v>185000.00000000003</v>
      </c>
      <c r="M311" s="8">
        <f>G311*2%</f>
        <v>100000</v>
      </c>
      <c r="N311" s="8">
        <f>G311*4%</f>
        <v>200000</v>
      </c>
      <c r="O311" s="8">
        <f>G311*1%</f>
        <v>50000</v>
      </c>
      <c r="P311">
        <v>10</v>
      </c>
      <c r="Q311" s="13">
        <f>P311*200000</f>
        <v>2000000</v>
      </c>
      <c r="R311" s="8">
        <v>250000</v>
      </c>
      <c r="S311" s="9">
        <f>8%*G311</f>
        <v>400000</v>
      </c>
    </row>
    <row r="312" spans="1:19" x14ac:dyDescent="0.3">
      <c r="A312">
        <v>310</v>
      </c>
      <c r="B312" s="10" t="s">
        <v>658</v>
      </c>
      <c r="C312" s="10" t="s">
        <v>659</v>
      </c>
      <c r="D312" s="11" t="str">
        <f>VLOOKUP(MID(B312,6,1),'Tabel Acuan'!$A$10:$B$17,2,0)</f>
        <v>Information Technology (IT)</v>
      </c>
      <c r="E312" t="str">
        <f>VLOOKUP(MID(B312,8,2),'Tabel Acuan'!$A$1:$B$6,2,0)</f>
        <v>Staff</v>
      </c>
      <c r="F312" s="12">
        <v>43752</v>
      </c>
      <c r="G312" s="8" cm="1">
        <f t="array" ref="G312">INDEX('Tabel Acuan'!$F$4:$F$39,
MATCH(1,('Tabel Acuan'!$D$4:$D$39='Data Gaji Pegawai'!D312)*('Tabel Acuan'!$E$4:$E$39='Data Gaji Pegawai'!E312),0))</f>
        <v>6000000</v>
      </c>
      <c r="H312">
        <f>I312/100000</f>
        <v>57</v>
      </c>
      <c r="I312" s="14">
        <v>5700000</v>
      </c>
      <c r="J312">
        <f ca="1">INT((TODAY()-F312)/30.417)</f>
        <v>80</v>
      </c>
      <c r="K312" s="13">
        <f t="shared" ca="1" si="4"/>
        <v>0</v>
      </c>
      <c r="L312" s="8">
        <f>G312*3.7%</f>
        <v>222000.00000000003</v>
      </c>
      <c r="M312" s="8">
        <f>G312*2%</f>
        <v>120000</v>
      </c>
      <c r="N312" s="8">
        <f>G312*4%</f>
        <v>240000</v>
      </c>
      <c r="O312" s="8">
        <f>G312*1%</f>
        <v>60000</v>
      </c>
      <c r="P312">
        <v>7</v>
      </c>
      <c r="Q312" s="13">
        <f>P312*200000</f>
        <v>1400000</v>
      </c>
      <c r="R312" s="8">
        <v>500000</v>
      </c>
      <c r="S312" s="9">
        <f>8%*G312</f>
        <v>480000</v>
      </c>
    </row>
    <row r="313" spans="1:19" x14ac:dyDescent="0.3">
      <c r="A313">
        <v>311</v>
      </c>
      <c r="B313" s="10" t="s">
        <v>660</v>
      </c>
      <c r="C313" s="10" t="s">
        <v>661</v>
      </c>
      <c r="D313" s="11" t="str">
        <f>VLOOKUP(MID(B313,6,1),'Tabel Acuan'!$A$10:$B$17,2,0)</f>
        <v>Information Technology (IT)</v>
      </c>
      <c r="E313" t="str">
        <f>VLOOKUP(MID(B313,8,2),'Tabel Acuan'!$A$1:$B$6,2,0)</f>
        <v>Staff</v>
      </c>
      <c r="F313" s="12">
        <v>45795</v>
      </c>
      <c r="G313" s="8" cm="1">
        <f t="array" ref="G313">INDEX('Tabel Acuan'!$F$4:$F$39,
MATCH(1,('Tabel Acuan'!$D$4:$D$39='Data Gaji Pegawai'!D313)*('Tabel Acuan'!$E$4:$E$39='Data Gaji Pegawai'!E313),0))</f>
        <v>6000000</v>
      </c>
      <c r="H313">
        <f>I313/100000</f>
        <v>31</v>
      </c>
      <c r="I313" s="14">
        <v>3100000</v>
      </c>
      <c r="J313">
        <f ca="1">INT((TODAY()-F313)/30.417)</f>
        <v>13</v>
      </c>
      <c r="K313" s="13">
        <f t="shared" ca="1" si="4"/>
        <v>0</v>
      </c>
      <c r="L313" s="8">
        <f>G313*3.7%</f>
        <v>222000.00000000003</v>
      </c>
      <c r="M313" s="8">
        <f>G313*2%</f>
        <v>120000</v>
      </c>
      <c r="N313" s="8">
        <f>G313*4%</f>
        <v>240000</v>
      </c>
      <c r="O313" s="8">
        <f>G313*1%</f>
        <v>60000</v>
      </c>
      <c r="P313">
        <v>4</v>
      </c>
      <c r="Q313" s="13">
        <f>P313*200000</f>
        <v>800000</v>
      </c>
      <c r="R313" s="8">
        <v>0</v>
      </c>
      <c r="S313" s="9">
        <f>8%*G313</f>
        <v>480000</v>
      </c>
    </row>
    <row r="314" spans="1:19" x14ac:dyDescent="0.3">
      <c r="A314">
        <v>312</v>
      </c>
      <c r="B314" s="10" t="s">
        <v>662</v>
      </c>
      <c r="C314" s="10" t="s">
        <v>663</v>
      </c>
      <c r="D314" s="11" t="str">
        <f>VLOOKUP(MID(B314,6,1),'Tabel Acuan'!$A$10:$B$17,2,0)</f>
        <v>Logistics</v>
      </c>
      <c r="E314" t="str">
        <f>VLOOKUP(MID(B314,8,2),'Tabel Acuan'!$A$1:$B$6,2,0)</f>
        <v>Senior Staff</v>
      </c>
      <c r="F314" s="12">
        <v>44381</v>
      </c>
      <c r="G314" s="8" cm="1">
        <f t="array" ref="G314">INDEX('Tabel Acuan'!$F$4:$F$39,
MATCH(1,('Tabel Acuan'!$D$4:$D$39='Data Gaji Pegawai'!D314)*('Tabel Acuan'!$E$4:$E$39='Data Gaji Pegawai'!E314),0))</f>
        <v>6250000</v>
      </c>
      <c r="H314">
        <f>I314/100000</f>
        <v>16</v>
      </c>
      <c r="I314" s="14">
        <v>1600000</v>
      </c>
      <c r="J314">
        <f ca="1">INT((TODAY()-F314)/30.417)</f>
        <v>59</v>
      </c>
      <c r="K314" s="13">
        <f t="shared" ca="1" si="4"/>
        <v>0</v>
      </c>
      <c r="L314" s="8">
        <f>G314*3.7%</f>
        <v>231250.00000000003</v>
      </c>
      <c r="M314" s="8">
        <f>G314*2%</f>
        <v>125000</v>
      </c>
      <c r="N314" s="8">
        <f>G314*4%</f>
        <v>250000</v>
      </c>
      <c r="O314" s="8">
        <f>G314*1%</f>
        <v>62500</v>
      </c>
      <c r="P314">
        <v>7</v>
      </c>
      <c r="Q314" s="13">
        <f>P314*200000</f>
        <v>1400000</v>
      </c>
      <c r="R314" s="8">
        <v>2000000</v>
      </c>
      <c r="S314" s="9">
        <f>8%*G314</f>
        <v>500000</v>
      </c>
    </row>
    <row r="315" spans="1:19" x14ac:dyDescent="0.3">
      <c r="A315">
        <v>313</v>
      </c>
      <c r="B315" s="10" t="s">
        <v>664</v>
      </c>
      <c r="C315" s="10" t="s">
        <v>665</v>
      </c>
      <c r="D315" s="11" t="str">
        <f>VLOOKUP(MID(B315,6,1),'Tabel Acuan'!$A$10:$B$17,2,0)</f>
        <v>Marketing</v>
      </c>
      <c r="E315" t="str">
        <f>VLOOKUP(MID(B315,8,2),'Tabel Acuan'!$A$1:$B$6,2,0)</f>
        <v>Staff</v>
      </c>
      <c r="F315" s="12">
        <v>45447</v>
      </c>
      <c r="G315" s="8" cm="1">
        <f t="array" ref="G315">INDEX('Tabel Acuan'!$F$4:$F$39,
MATCH(1,('Tabel Acuan'!$D$4:$D$39='Data Gaji Pegawai'!D315)*('Tabel Acuan'!$E$4:$E$39='Data Gaji Pegawai'!E315),0))</f>
        <v>5300000</v>
      </c>
      <c r="H315">
        <f>I315/100000</f>
        <v>0</v>
      </c>
      <c r="I315" s="14">
        <v>0</v>
      </c>
      <c r="J315">
        <f ca="1">INT((TODAY()-F315)/30.417)</f>
        <v>24</v>
      </c>
      <c r="K315" s="13">
        <f t="shared" ca="1" si="4"/>
        <v>0</v>
      </c>
      <c r="L315" s="8">
        <f>G315*3.7%</f>
        <v>196100.00000000003</v>
      </c>
      <c r="M315" s="8">
        <f>G315*2%</f>
        <v>106000</v>
      </c>
      <c r="N315" s="8">
        <f>G315*4%</f>
        <v>212000</v>
      </c>
      <c r="O315" s="8">
        <f>G315*1%</f>
        <v>53000</v>
      </c>
      <c r="P315">
        <v>12</v>
      </c>
      <c r="Q315" s="13">
        <f>P315*200000</f>
        <v>2400000</v>
      </c>
      <c r="R315" s="8">
        <v>0</v>
      </c>
      <c r="S315" s="9">
        <f>8%*G315</f>
        <v>424000</v>
      </c>
    </row>
    <row r="316" spans="1:19" x14ac:dyDescent="0.3">
      <c r="A316">
        <v>314</v>
      </c>
      <c r="B316" s="10" t="s">
        <v>666</v>
      </c>
      <c r="C316" s="10" t="s">
        <v>667</v>
      </c>
      <c r="D316" s="11" t="str">
        <f>VLOOKUP(MID(B316,6,1),'Tabel Acuan'!$A$10:$B$17,2,0)</f>
        <v>Information Technology (IT)</v>
      </c>
      <c r="E316" t="str">
        <f>VLOOKUP(MID(B316,8,2),'Tabel Acuan'!$A$1:$B$6,2,0)</f>
        <v>Supervisor</v>
      </c>
      <c r="F316" s="12">
        <v>45463</v>
      </c>
      <c r="G316" s="8" cm="1">
        <f t="array" ref="G316">INDEX('Tabel Acuan'!$F$4:$F$39,
MATCH(1,('Tabel Acuan'!$D$4:$D$39='Data Gaji Pegawai'!D316)*('Tabel Acuan'!$E$4:$E$39='Data Gaji Pegawai'!E316),0))</f>
        <v>9000000</v>
      </c>
      <c r="H316">
        <f>I316/100000</f>
        <v>27</v>
      </c>
      <c r="I316" s="14">
        <v>2700000</v>
      </c>
      <c r="J316">
        <f ca="1">INT((TODAY()-F316)/30.417)</f>
        <v>24</v>
      </c>
      <c r="K316" s="13">
        <f t="shared" ca="1" si="4"/>
        <v>0</v>
      </c>
      <c r="L316" s="8">
        <f>G316*3.7%</f>
        <v>333000.00000000006</v>
      </c>
      <c r="M316" s="8">
        <f>G316*2%</f>
        <v>180000</v>
      </c>
      <c r="N316" s="8">
        <f>G316*4%</f>
        <v>360000</v>
      </c>
      <c r="O316" s="8">
        <f>G316*1%</f>
        <v>90000</v>
      </c>
      <c r="P316">
        <v>4</v>
      </c>
      <c r="Q316" s="13">
        <f>P316*200000</f>
        <v>800000</v>
      </c>
      <c r="R316" s="8">
        <v>0</v>
      </c>
      <c r="S316" s="9">
        <f>8%*G316</f>
        <v>720000</v>
      </c>
    </row>
    <row r="317" spans="1:19" x14ac:dyDescent="0.3">
      <c r="A317">
        <v>315</v>
      </c>
      <c r="B317" s="10" t="s">
        <v>668</v>
      </c>
      <c r="C317" s="10" t="s">
        <v>669</v>
      </c>
      <c r="D317" s="11" t="str">
        <f>VLOOKUP(MID(B317,6,1),'Tabel Acuan'!$A$10:$B$17,2,0)</f>
        <v>Sales</v>
      </c>
      <c r="E317" t="str">
        <f>VLOOKUP(MID(B317,8,2),'Tabel Acuan'!$A$1:$B$6,2,0)</f>
        <v>Staff</v>
      </c>
      <c r="F317" s="12">
        <v>45495</v>
      </c>
      <c r="G317" s="8" cm="1">
        <f t="array" ref="G317">INDEX('Tabel Acuan'!$F$4:$F$39,
MATCH(1,('Tabel Acuan'!$D$4:$D$39='Data Gaji Pegawai'!D317)*('Tabel Acuan'!$E$4:$E$39='Data Gaji Pegawai'!E317),0))</f>
        <v>5000000</v>
      </c>
      <c r="H317">
        <f>I317/100000</f>
        <v>20</v>
      </c>
      <c r="I317" s="14">
        <v>2000000</v>
      </c>
      <c r="J317">
        <f ca="1">INT((TODAY()-F317)/30.417)</f>
        <v>23</v>
      </c>
      <c r="K317" s="13">
        <f t="shared" ca="1" si="4"/>
        <v>0</v>
      </c>
      <c r="L317" s="8">
        <f>G317*3.7%</f>
        <v>185000.00000000003</v>
      </c>
      <c r="M317" s="8">
        <f>G317*2%</f>
        <v>100000</v>
      </c>
      <c r="N317" s="8">
        <f>G317*4%</f>
        <v>200000</v>
      </c>
      <c r="O317" s="8">
        <f>G317*1%</f>
        <v>50000</v>
      </c>
      <c r="P317">
        <v>9</v>
      </c>
      <c r="Q317" s="13">
        <f>P317*200000</f>
        <v>1800000</v>
      </c>
      <c r="R317" s="8">
        <v>3500000</v>
      </c>
      <c r="S317" s="9">
        <f>8%*G317</f>
        <v>400000</v>
      </c>
    </row>
    <row r="318" spans="1:19" x14ac:dyDescent="0.3">
      <c r="A318">
        <v>316</v>
      </c>
      <c r="B318" s="10" t="s">
        <v>670</v>
      </c>
      <c r="C318" s="10" t="s">
        <v>671</v>
      </c>
      <c r="D318" s="11" t="str">
        <f>VLOOKUP(MID(B318,6,1),'Tabel Acuan'!$A$10:$B$17,2,0)</f>
        <v>Marketing</v>
      </c>
      <c r="E318" t="str">
        <f>VLOOKUP(MID(B318,8,2),'Tabel Acuan'!$A$1:$B$6,2,0)</f>
        <v>Supervisor</v>
      </c>
      <c r="F318" s="12">
        <v>44705</v>
      </c>
      <c r="G318" s="8" cm="1">
        <f t="array" ref="G318">INDEX('Tabel Acuan'!$F$4:$F$39,
MATCH(1,('Tabel Acuan'!$D$4:$D$39='Data Gaji Pegawai'!D318)*('Tabel Acuan'!$E$4:$E$39='Data Gaji Pegawai'!E318),0))</f>
        <v>7800000</v>
      </c>
      <c r="H318">
        <f>I318/100000</f>
        <v>52</v>
      </c>
      <c r="I318" s="14">
        <v>5200000</v>
      </c>
      <c r="J318">
        <f ca="1">INT((TODAY()-F318)/30.417)</f>
        <v>49</v>
      </c>
      <c r="K318" s="13">
        <f t="shared" ca="1" si="4"/>
        <v>0</v>
      </c>
      <c r="L318" s="8">
        <f>G318*3.7%</f>
        <v>288600.00000000006</v>
      </c>
      <c r="M318" s="8">
        <f>G318*2%</f>
        <v>156000</v>
      </c>
      <c r="N318" s="8">
        <f>G318*4%</f>
        <v>312000</v>
      </c>
      <c r="O318" s="8">
        <f>G318*1%</f>
        <v>78000</v>
      </c>
      <c r="P318">
        <v>12</v>
      </c>
      <c r="Q318" s="13">
        <f>P318*200000</f>
        <v>2400000</v>
      </c>
      <c r="R318" s="8">
        <v>3000000</v>
      </c>
      <c r="S318" s="9">
        <f>8%*G318</f>
        <v>624000</v>
      </c>
    </row>
    <row r="319" spans="1:19" x14ac:dyDescent="0.3">
      <c r="A319">
        <v>317</v>
      </c>
      <c r="B319" s="10" t="s">
        <v>672</v>
      </c>
      <c r="C319" s="10" t="s">
        <v>673</v>
      </c>
      <c r="D319" s="11" t="str">
        <f>VLOOKUP(MID(B319,6,1),'Tabel Acuan'!$A$10:$B$17,2,0)</f>
        <v>Marketing</v>
      </c>
      <c r="E319" t="str">
        <f>VLOOKUP(MID(B319,8,2),'Tabel Acuan'!$A$1:$B$6,2,0)</f>
        <v>Manager</v>
      </c>
      <c r="F319" s="12">
        <v>43382</v>
      </c>
      <c r="G319" s="8" cm="1">
        <f t="array" ref="G319">INDEX('Tabel Acuan'!$F$4:$F$39,
MATCH(1,('Tabel Acuan'!$D$4:$D$39='Data Gaji Pegawai'!D319)*('Tabel Acuan'!$E$4:$E$39='Data Gaji Pegawai'!E319),0))</f>
        <v>13000000</v>
      </c>
      <c r="H319">
        <f>I319/100000</f>
        <v>1</v>
      </c>
      <c r="I319" s="14">
        <v>100000</v>
      </c>
      <c r="J319">
        <f ca="1">INT((TODAY()-F319)/30.417)</f>
        <v>92</v>
      </c>
      <c r="K319" s="13">
        <f t="shared" ca="1" si="4"/>
        <v>0</v>
      </c>
      <c r="L319" s="8">
        <f>G319*3.7%</f>
        <v>481000.00000000006</v>
      </c>
      <c r="M319" s="8">
        <f>G319*2%</f>
        <v>260000</v>
      </c>
      <c r="N319" s="8">
        <f>G319*4%</f>
        <v>520000</v>
      </c>
      <c r="O319" s="8">
        <f>G319*1%</f>
        <v>130000</v>
      </c>
      <c r="P319">
        <v>14</v>
      </c>
      <c r="Q319" s="13">
        <f>P319*200000</f>
        <v>2800000</v>
      </c>
      <c r="R319" s="8">
        <v>750000</v>
      </c>
      <c r="S319" s="9">
        <f>8%*G319</f>
        <v>1040000</v>
      </c>
    </row>
    <row r="320" spans="1:19" x14ac:dyDescent="0.3">
      <c r="A320">
        <v>318</v>
      </c>
      <c r="B320" s="10" t="s">
        <v>674</v>
      </c>
      <c r="C320" s="10" t="s">
        <v>675</v>
      </c>
      <c r="D320" s="11" t="str">
        <f>VLOOKUP(MID(B320,6,1),'Tabel Acuan'!$A$10:$B$17,2,0)</f>
        <v>Operations</v>
      </c>
      <c r="E320" t="str">
        <f>VLOOKUP(MID(B320,8,2),'Tabel Acuan'!$A$1:$B$6,2,0)</f>
        <v>Staff</v>
      </c>
      <c r="F320" s="12">
        <v>44771</v>
      </c>
      <c r="G320" s="8" cm="1">
        <f t="array" ref="G320">INDEX('Tabel Acuan'!$F$4:$F$39,
MATCH(1,('Tabel Acuan'!$D$4:$D$39='Data Gaji Pegawai'!D320)*('Tabel Acuan'!$E$4:$E$39='Data Gaji Pegawai'!E320),0))</f>
        <v>5200000</v>
      </c>
      <c r="H320">
        <f>I320/100000</f>
        <v>43</v>
      </c>
      <c r="I320" s="14">
        <v>4300000</v>
      </c>
      <c r="J320">
        <f ca="1">INT((TODAY()-F320)/30.417)</f>
        <v>47</v>
      </c>
      <c r="K320" s="13">
        <f t="shared" ca="1" si="4"/>
        <v>0</v>
      </c>
      <c r="L320" s="8">
        <f>G320*3.7%</f>
        <v>192400.00000000003</v>
      </c>
      <c r="M320" s="8">
        <f>G320*2%</f>
        <v>104000</v>
      </c>
      <c r="N320" s="8">
        <f>G320*4%</f>
        <v>208000</v>
      </c>
      <c r="O320" s="8">
        <f>G320*1%</f>
        <v>52000</v>
      </c>
      <c r="P320">
        <v>15</v>
      </c>
      <c r="Q320" s="13">
        <f>P320*200000</f>
        <v>3000000</v>
      </c>
      <c r="R320" s="8">
        <v>0</v>
      </c>
      <c r="S320" s="9">
        <f>8%*G320</f>
        <v>416000</v>
      </c>
    </row>
    <row r="321" spans="1:19" x14ac:dyDescent="0.3">
      <c r="A321">
        <v>319</v>
      </c>
      <c r="B321" s="10" t="s">
        <v>676</v>
      </c>
      <c r="C321" s="10" t="s">
        <v>677</v>
      </c>
      <c r="D321" s="11" t="str">
        <f>VLOOKUP(MID(B321,6,1),'Tabel Acuan'!$A$10:$B$17,2,0)</f>
        <v>Finance</v>
      </c>
      <c r="E321" t="str">
        <f>VLOOKUP(MID(B321,8,2),'Tabel Acuan'!$A$1:$B$6,2,0)</f>
        <v>Staff</v>
      </c>
      <c r="F321" s="12">
        <v>43682</v>
      </c>
      <c r="G321" s="8" cm="1">
        <f t="array" ref="G321">INDEX('Tabel Acuan'!$F$4:$F$39,
MATCH(1,('Tabel Acuan'!$D$4:$D$39='Data Gaji Pegawai'!D321)*('Tabel Acuan'!$E$4:$E$39='Data Gaji Pegawai'!E321),0))</f>
        <v>5500000</v>
      </c>
      <c r="H321">
        <f>I321/100000</f>
        <v>50</v>
      </c>
      <c r="I321" s="14">
        <v>5000000</v>
      </c>
      <c r="J321">
        <f ca="1">INT((TODAY()-F321)/30.417)</f>
        <v>82</v>
      </c>
      <c r="K321" s="13">
        <f t="shared" ca="1" si="4"/>
        <v>0</v>
      </c>
      <c r="L321" s="8">
        <f>G321*3.7%</f>
        <v>203500.00000000003</v>
      </c>
      <c r="M321" s="8">
        <f>G321*2%</f>
        <v>110000</v>
      </c>
      <c r="N321" s="8">
        <f>G321*4%</f>
        <v>220000</v>
      </c>
      <c r="O321" s="8">
        <f>G321*1%</f>
        <v>55000</v>
      </c>
      <c r="P321">
        <v>12</v>
      </c>
      <c r="Q321" s="13">
        <f>P321*200000</f>
        <v>2400000</v>
      </c>
      <c r="R321" s="8">
        <v>0</v>
      </c>
      <c r="S321" s="9">
        <f>8%*G321</f>
        <v>440000</v>
      </c>
    </row>
    <row r="322" spans="1:19" x14ac:dyDescent="0.3">
      <c r="A322">
        <v>320</v>
      </c>
      <c r="B322" s="10" t="s">
        <v>678</v>
      </c>
      <c r="C322" s="10" t="s">
        <v>679</v>
      </c>
      <c r="D322" s="11" t="str">
        <f>VLOOKUP(MID(B322,6,1),'Tabel Acuan'!$A$10:$B$17,2,0)</f>
        <v>Information Technology (IT)</v>
      </c>
      <c r="E322" t="str">
        <f>VLOOKUP(MID(B322,8,2),'Tabel Acuan'!$A$1:$B$6,2,0)</f>
        <v>Senior Staff</v>
      </c>
      <c r="F322" s="12">
        <v>45646</v>
      </c>
      <c r="G322" s="8" cm="1">
        <f t="array" ref="G322">INDEX('Tabel Acuan'!$F$4:$F$39,
MATCH(1,('Tabel Acuan'!$D$4:$D$39='Data Gaji Pegawai'!D322)*('Tabel Acuan'!$E$4:$E$39='Data Gaji Pegawai'!E322),0))</f>
        <v>7500000</v>
      </c>
      <c r="H322">
        <f>I322/100000</f>
        <v>26</v>
      </c>
      <c r="I322" s="14">
        <v>2600000</v>
      </c>
      <c r="J322">
        <f ca="1">INT((TODAY()-F322)/30.417)</f>
        <v>18</v>
      </c>
      <c r="K322" s="13">
        <f t="shared" ca="1" si="4"/>
        <v>0</v>
      </c>
      <c r="L322" s="8">
        <f>G322*3.7%</f>
        <v>277500.00000000006</v>
      </c>
      <c r="M322" s="8">
        <f>G322*2%</f>
        <v>150000</v>
      </c>
      <c r="N322" s="8">
        <f>G322*4%</f>
        <v>300000</v>
      </c>
      <c r="O322" s="8">
        <f>G322*1%</f>
        <v>75000</v>
      </c>
      <c r="P322">
        <v>1</v>
      </c>
      <c r="Q322" s="13">
        <f>P322*200000</f>
        <v>200000</v>
      </c>
      <c r="R322" s="8">
        <v>1250000</v>
      </c>
      <c r="S322" s="9">
        <f>8%*G322</f>
        <v>600000</v>
      </c>
    </row>
    <row r="323" spans="1:19" x14ac:dyDescent="0.3">
      <c r="A323">
        <v>321</v>
      </c>
      <c r="B323" s="10" t="s">
        <v>680</v>
      </c>
      <c r="C323" s="10" t="s">
        <v>681</v>
      </c>
      <c r="D323" s="11" t="str">
        <f>VLOOKUP(MID(B323,6,1),'Tabel Acuan'!$A$10:$B$17,2,0)</f>
        <v>Marketing</v>
      </c>
      <c r="E323" t="str">
        <f>VLOOKUP(MID(B323,8,2),'Tabel Acuan'!$A$1:$B$6,2,0)</f>
        <v>Senior Staff</v>
      </c>
      <c r="F323" s="12">
        <v>45054</v>
      </c>
      <c r="G323" s="8" cm="1">
        <f t="array" ref="G323">INDEX('Tabel Acuan'!$F$4:$F$39,
MATCH(1,('Tabel Acuan'!$D$4:$D$39='Data Gaji Pegawai'!D323)*('Tabel Acuan'!$E$4:$E$39='Data Gaji Pegawai'!E323),0))</f>
        <v>6400000</v>
      </c>
      <c r="H323">
        <f>I323/100000</f>
        <v>42</v>
      </c>
      <c r="I323" s="14">
        <v>4200000</v>
      </c>
      <c r="J323">
        <f ca="1">INT((TODAY()-F323)/30.417)</f>
        <v>37</v>
      </c>
      <c r="K323" s="13">
        <f t="shared" ca="1" si="4"/>
        <v>0</v>
      </c>
      <c r="L323" s="8">
        <f>G323*3.7%</f>
        <v>236800.00000000003</v>
      </c>
      <c r="M323" s="8">
        <f>G323*2%</f>
        <v>128000</v>
      </c>
      <c r="N323" s="8">
        <f>G323*4%</f>
        <v>256000</v>
      </c>
      <c r="O323" s="8">
        <f>G323*1%</f>
        <v>64000</v>
      </c>
      <c r="P323">
        <v>11</v>
      </c>
      <c r="Q323" s="13">
        <f>P323*200000</f>
        <v>2200000</v>
      </c>
      <c r="R323" s="8">
        <v>0</v>
      </c>
      <c r="S323" s="9">
        <f>8%*G323</f>
        <v>512000</v>
      </c>
    </row>
    <row r="324" spans="1:19" x14ac:dyDescent="0.3">
      <c r="A324">
        <v>322</v>
      </c>
      <c r="B324" s="10" t="s">
        <v>682</v>
      </c>
      <c r="C324" s="10" t="s">
        <v>683</v>
      </c>
      <c r="D324" s="11" t="str">
        <f>VLOOKUP(MID(B324,6,1),'Tabel Acuan'!$A$10:$B$17,2,0)</f>
        <v>Human Resources (HR)</v>
      </c>
      <c r="E324" t="str">
        <f>VLOOKUP(MID(B324,8,2),'Tabel Acuan'!$A$1:$B$6,2,0)</f>
        <v>Senior Staff</v>
      </c>
      <c r="F324" s="12">
        <v>45623</v>
      </c>
      <c r="G324" s="8" cm="1">
        <f t="array" ref="G324">INDEX('Tabel Acuan'!$F$4:$F$39,
MATCH(1,('Tabel Acuan'!$D$4:$D$39='Data Gaji Pegawai'!D324)*('Tabel Acuan'!$E$4:$E$39='Data Gaji Pegawai'!E324),0))</f>
        <v>6000000</v>
      </c>
      <c r="H324">
        <f>I324/100000</f>
        <v>25</v>
      </c>
      <c r="I324" s="14">
        <v>2500000</v>
      </c>
      <c r="J324">
        <f ca="1">INT((TODAY()-F324)/30.417)</f>
        <v>19</v>
      </c>
      <c r="K324" s="13">
        <f t="shared" ref="K324:K387" ca="1" si="5">IF(MONTH(TODAY())=12, IF(J324&gt;=12,G324,G324*(J324/12)), 0)</f>
        <v>0</v>
      </c>
      <c r="L324" s="8">
        <f>G324*3.7%</f>
        <v>222000.00000000003</v>
      </c>
      <c r="M324" s="8">
        <f>G324*2%</f>
        <v>120000</v>
      </c>
      <c r="N324" s="8">
        <f>G324*4%</f>
        <v>240000</v>
      </c>
      <c r="O324" s="8">
        <f>G324*1%</f>
        <v>60000</v>
      </c>
      <c r="P324">
        <v>10</v>
      </c>
      <c r="Q324" s="13">
        <f>P324*200000</f>
        <v>2000000</v>
      </c>
      <c r="R324" s="8">
        <v>1500000</v>
      </c>
      <c r="S324" s="9">
        <f>8%*G324</f>
        <v>480000</v>
      </c>
    </row>
    <row r="325" spans="1:19" x14ac:dyDescent="0.3">
      <c r="A325">
        <v>323</v>
      </c>
      <c r="B325" s="10" t="s">
        <v>684</v>
      </c>
      <c r="C325" s="10" t="s">
        <v>685</v>
      </c>
      <c r="D325" s="11" t="str">
        <f>VLOOKUP(MID(B325,6,1),'Tabel Acuan'!$A$10:$B$17,2,0)</f>
        <v>Human Resources (HR)</v>
      </c>
      <c r="E325" t="str">
        <f>VLOOKUP(MID(B325,8,2),'Tabel Acuan'!$A$1:$B$6,2,0)</f>
        <v>Staff</v>
      </c>
      <c r="F325" s="12">
        <v>42635</v>
      </c>
      <c r="G325" s="8" cm="1">
        <f t="array" ref="G325">INDEX('Tabel Acuan'!$F$4:$F$39,
MATCH(1,('Tabel Acuan'!$D$4:$D$39='Data Gaji Pegawai'!D325)*('Tabel Acuan'!$E$4:$E$39='Data Gaji Pegawai'!E325),0))</f>
        <v>5000000</v>
      </c>
      <c r="H325">
        <f>I325/100000</f>
        <v>35</v>
      </c>
      <c r="I325" s="14">
        <v>3500000</v>
      </c>
      <c r="J325">
        <f ca="1">INT((TODAY()-F325)/30.417)</f>
        <v>117</v>
      </c>
      <c r="K325" s="13">
        <f t="shared" ca="1" si="5"/>
        <v>0</v>
      </c>
      <c r="L325" s="8">
        <f>G325*3.7%</f>
        <v>185000.00000000003</v>
      </c>
      <c r="M325" s="8">
        <f>G325*2%</f>
        <v>100000</v>
      </c>
      <c r="N325" s="8">
        <f>G325*4%</f>
        <v>200000</v>
      </c>
      <c r="O325" s="8">
        <f>G325*1%</f>
        <v>50000</v>
      </c>
      <c r="P325">
        <v>7</v>
      </c>
      <c r="Q325" s="13">
        <f>P325*200000</f>
        <v>1400000</v>
      </c>
      <c r="R325" s="8">
        <v>1500000</v>
      </c>
      <c r="S325" s="9">
        <f>8%*G325</f>
        <v>400000</v>
      </c>
    </row>
    <row r="326" spans="1:19" x14ac:dyDescent="0.3">
      <c r="A326">
        <v>324</v>
      </c>
      <c r="B326" s="10" t="s">
        <v>686</v>
      </c>
      <c r="C326" s="10" t="s">
        <v>687</v>
      </c>
      <c r="D326" s="11" t="str">
        <f>VLOOKUP(MID(B326,6,1),'Tabel Acuan'!$A$10:$B$17,2,0)</f>
        <v>Operations</v>
      </c>
      <c r="E326" t="str">
        <f>VLOOKUP(MID(B326,8,2),'Tabel Acuan'!$A$1:$B$6,2,0)</f>
        <v>Senior Staff</v>
      </c>
      <c r="F326" s="12">
        <v>44639</v>
      </c>
      <c r="G326" s="8" cm="1">
        <f t="array" ref="G326">INDEX('Tabel Acuan'!$F$4:$F$39,
MATCH(1,('Tabel Acuan'!$D$4:$D$39='Data Gaji Pegawai'!D326)*('Tabel Acuan'!$E$4:$E$39='Data Gaji Pegawai'!E326),0))</f>
        <v>6300000</v>
      </c>
      <c r="H326">
        <f>I326/100000</f>
        <v>22</v>
      </c>
      <c r="I326" s="14">
        <v>2200000</v>
      </c>
      <c r="J326">
        <f ca="1">INT((TODAY()-F326)/30.417)</f>
        <v>51</v>
      </c>
      <c r="K326" s="13">
        <f t="shared" ca="1" si="5"/>
        <v>0</v>
      </c>
      <c r="L326" s="8">
        <f>G326*3.7%</f>
        <v>233100.00000000003</v>
      </c>
      <c r="M326" s="8">
        <f>G326*2%</f>
        <v>126000</v>
      </c>
      <c r="N326" s="8">
        <f>G326*4%</f>
        <v>252000</v>
      </c>
      <c r="O326" s="8">
        <f>G326*1%</f>
        <v>63000</v>
      </c>
      <c r="P326">
        <v>0</v>
      </c>
      <c r="Q326" s="13">
        <f>P326*200000</f>
        <v>0</v>
      </c>
      <c r="R326" s="8">
        <v>1000000</v>
      </c>
      <c r="S326" s="9">
        <f>8%*G326</f>
        <v>504000</v>
      </c>
    </row>
    <row r="327" spans="1:19" x14ac:dyDescent="0.3">
      <c r="A327">
        <v>325</v>
      </c>
      <c r="B327" s="10" t="s">
        <v>688</v>
      </c>
      <c r="C327" s="10" t="s">
        <v>317</v>
      </c>
      <c r="D327" s="11" t="str">
        <f>VLOOKUP(MID(B327,6,1),'Tabel Acuan'!$A$10:$B$17,2,0)</f>
        <v>Human Resources (HR)</v>
      </c>
      <c r="E327" t="str">
        <f>VLOOKUP(MID(B327,8,2),'Tabel Acuan'!$A$1:$B$6,2,0)</f>
        <v>Staff</v>
      </c>
      <c r="F327" s="12">
        <v>44375</v>
      </c>
      <c r="G327" s="8" cm="1">
        <f t="array" ref="G327">INDEX('Tabel Acuan'!$F$4:$F$39,
MATCH(1,('Tabel Acuan'!$D$4:$D$39='Data Gaji Pegawai'!D327)*('Tabel Acuan'!$E$4:$E$39='Data Gaji Pegawai'!E327),0))</f>
        <v>5000000</v>
      </c>
      <c r="H327">
        <f>I327/100000</f>
        <v>19</v>
      </c>
      <c r="I327" s="14">
        <v>1900000</v>
      </c>
      <c r="J327">
        <f ca="1">INT((TODAY()-F327)/30.417)</f>
        <v>60</v>
      </c>
      <c r="K327" s="13">
        <f t="shared" ca="1" si="5"/>
        <v>0</v>
      </c>
      <c r="L327" s="8">
        <f>G327*3.7%</f>
        <v>185000.00000000003</v>
      </c>
      <c r="M327" s="8">
        <f>G327*2%</f>
        <v>100000</v>
      </c>
      <c r="N327" s="8">
        <f>G327*4%</f>
        <v>200000</v>
      </c>
      <c r="O327" s="8">
        <f>G327*1%</f>
        <v>50000</v>
      </c>
      <c r="P327">
        <v>10</v>
      </c>
      <c r="Q327" s="13">
        <f>P327*200000</f>
        <v>2000000</v>
      </c>
      <c r="R327" s="8">
        <v>750000</v>
      </c>
      <c r="S327" s="9">
        <f>8%*G327</f>
        <v>400000</v>
      </c>
    </row>
    <row r="328" spans="1:19" x14ac:dyDescent="0.3">
      <c r="A328">
        <v>326</v>
      </c>
      <c r="B328" s="10" t="s">
        <v>689</v>
      </c>
      <c r="C328" s="10" t="s">
        <v>690</v>
      </c>
      <c r="D328" s="11" t="str">
        <f>VLOOKUP(MID(B328,6,1),'Tabel Acuan'!$A$10:$B$17,2,0)</f>
        <v>Information Technology (IT)</v>
      </c>
      <c r="E328" t="str">
        <f>VLOOKUP(MID(B328,8,2),'Tabel Acuan'!$A$1:$B$6,2,0)</f>
        <v>Staff</v>
      </c>
      <c r="F328" s="12">
        <v>45283</v>
      </c>
      <c r="G328" s="8" cm="1">
        <f t="array" ref="G328">INDEX('Tabel Acuan'!$F$4:$F$39,
MATCH(1,('Tabel Acuan'!$D$4:$D$39='Data Gaji Pegawai'!D328)*('Tabel Acuan'!$E$4:$E$39='Data Gaji Pegawai'!E328),0))</f>
        <v>6000000</v>
      </c>
      <c r="H328">
        <f>I328/100000</f>
        <v>28</v>
      </c>
      <c r="I328" s="14">
        <v>2800000</v>
      </c>
      <c r="J328">
        <f ca="1">INT((TODAY()-F328)/30.417)</f>
        <v>30</v>
      </c>
      <c r="K328" s="13">
        <f t="shared" ca="1" si="5"/>
        <v>0</v>
      </c>
      <c r="L328" s="8">
        <f>G328*3.7%</f>
        <v>222000.00000000003</v>
      </c>
      <c r="M328" s="8">
        <f>G328*2%</f>
        <v>120000</v>
      </c>
      <c r="N328" s="8">
        <f>G328*4%</f>
        <v>240000</v>
      </c>
      <c r="O328" s="8">
        <f>G328*1%</f>
        <v>60000</v>
      </c>
      <c r="P328">
        <v>10</v>
      </c>
      <c r="Q328" s="13">
        <f>P328*200000</f>
        <v>2000000</v>
      </c>
      <c r="R328" s="8">
        <v>0</v>
      </c>
      <c r="S328" s="9">
        <f>8%*G328</f>
        <v>480000</v>
      </c>
    </row>
    <row r="329" spans="1:19" x14ac:dyDescent="0.3">
      <c r="A329">
        <v>327</v>
      </c>
      <c r="B329" s="10" t="s">
        <v>691</v>
      </c>
      <c r="C329" s="10" t="s">
        <v>692</v>
      </c>
      <c r="D329" s="11" t="str">
        <f>VLOOKUP(MID(B329,6,1),'Tabel Acuan'!$A$10:$B$17,2,0)</f>
        <v>Operations</v>
      </c>
      <c r="E329" t="str">
        <f>VLOOKUP(MID(B329,8,2),'Tabel Acuan'!$A$1:$B$6,2,0)</f>
        <v>Supervisor</v>
      </c>
      <c r="F329" s="12">
        <v>42336</v>
      </c>
      <c r="G329" s="8" cm="1">
        <f t="array" ref="G329">INDEX('Tabel Acuan'!$F$4:$F$39,
MATCH(1,('Tabel Acuan'!$D$4:$D$39='Data Gaji Pegawai'!D329)*('Tabel Acuan'!$E$4:$E$39='Data Gaji Pegawai'!E329),0))</f>
        <v>7700000</v>
      </c>
      <c r="H329">
        <f>I329/100000</f>
        <v>6</v>
      </c>
      <c r="I329" s="14">
        <v>600000</v>
      </c>
      <c r="J329">
        <f ca="1">INT((TODAY()-F329)/30.417)</f>
        <v>127</v>
      </c>
      <c r="K329" s="13">
        <f t="shared" ca="1" si="5"/>
        <v>0</v>
      </c>
      <c r="L329" s="8">
        <f>G329*3.7%</f>
        <v>284900.00000000006</v>
      </c>
      <c r="M329" s="8">
        <f>G329*2%</f>
        <v>154000</v>
      </c>
      <c r="N329" s="8">
        <f>G329*4%</f>
        <v>308000</v>
      </c>
      <c r="O329" s="8">
        <f>G329*1%</f>
        <v>77000</v>
      </c>
      <c r="P329">
        <v>5</v>
      </c>
      <c r="Q329" s="13">
        <f>P329*200000</f>
        <v>1000000</v>
      </c>
      <c r="R329" s="8">
        <v>4000000</v>
      </c>
      <c r="S329" s="9">
        <f>8%*G329</f>
        <v>616000</v>
      </c>
    </row>
    <row r="330" spans="1:19" x14ac:dyDescent="0.3">
      <c r="A330">
        <v>328</v>
      </c>
      <c r="B330" s="10" t="s">
        <v>693</v>
      </c>
      <c r="C330" s="10" t="s">
        <v>694</v>
      </c>
      <c r="D330" s="11" t="str">
        <f>VLOOKUP(MID(B330,6,1),'Tabel Acuan'!$A$10:$B$17,2,0)</f>
        <v>Marketing</v>
      </c>
      <c r="E330" t="str">
        <f>VLOOKUP(MID(B330,8,2),'Tabel Acuan'!$A$1:$B$6,2,0)</f>
        <v>Staff</v>
      </c>
      <c r="F330" s="12">
        <v>43387</v>
      </c>
      <c r="G330" s="8" cm="1">
        <f t="array" ref="G330">INDEX('Tabel Acuan'!$F$4:$F$39,
MATCH(1,('Tabel Acuan'!$D$4:$D$39='Data Gaji Pegawai'!D330)*('Tabel Acuan'!$E$4:$E$39='Data Gaji Pegawai'!E330),0))</f>
        <v>5300000</v>
      </c>
      <c r="H330">
        <f>I330/100000</f>
        <v>27</v>
      </c>
      <c r="I330" s="14">
        <v>2700000</v>
      </c>
      <c r="J330">
        <f ca="1">INT((TODAY()-F330)/30.417)</f>
        <v>92</v>
      </c>
      <c r="K330" s="13">
        <f t="shared" ca="1" si="5"/>
        <v>0</v>
      </c>
      <c r="L330" s="8">
        <f>G330*3.7%</f>
        <v>196100.00000000003</v>
      </c>
      <c r="M330" s="8">
        <f>G330*2%</f>
        <v>106000</v>
      </c>
      <c r="N330" s="8">
        <f>G330*4%</f>
        <v>212000</v>
      </c>
      <c r="O330" s="8">
        <f>G330*1%</f>
        <v>53000</v>
      </c>
      <c r="P330">
        <v>14</v>
      </c>
      <c r="Q330" s="13">
        <f>P330*200000</f>
        <v>2800000</v>
      </c>
      <c r="R330" s="8">
        <v>0</v>
      </c>
      <c r="S330" s="9">
        <f>8%*G330</f>
        <v>424000</v>
      </c>
    </row>
    <row r="331" spans="1:19" x14ac:dyDescent="0.3">
      <c r="A331">
        <v>329</v>
      </c>
      <c r="B331" s="10" t="s">
        <v>695</v>
      </c>
      <c r="C331" s="10" t="s">
        <v>696</v>
      </c>
      <c r="D331" s="11" t="str">
        <f>VLOOKUP(MID(B331,6,1),'Tabel Acuan'!$A$10:$B$17,2,0)</f>
        <v>Sales</v>
      </c>
      <c r="E331" t="str">
        <f>VLOOKUP(MID(B331,8,2),'Tabel Acuan'!$A$1:$B$6,2,0)</f>
        <v>Staff</v>
      </c>
      <c r="F331" s="12">
        <v>44418</v>
      </c>
      <c r="G331" s="8" cm="1">
        <f t="array" ref="G331">INDEX('Tabel Acuan'!$F$4:$F$39,
MATCH(1,('Tabel Acuan'!$D$4:$D$39='Data Gaji Pegawai'!D331)*('Tabel Acuan'!$E$4:$E$39='Data Gaji Pegawai'!E331),0))</f>
        <v>5000000</v>
      </c>
      <c r="H331">
        <f>I331/100000</f>
        <v>25</v>
      </c>
      <c r="I331" s="14">
        <v>2500000</v>
      </c>
      <c r="J331">
        <f ca="1">INT((TODAY()-F331)/30.417)</f>
        <v>58</v>
      </c>
      <c r="K331" s="13">
        <f t="shared" ca="1" si="5"/>
        <v>0</v>
      </c>
      <c r="L331" s="8">
        <f>G331*3.7%</f>
        <v>185000.00000000003</v>
      </c>
      <c r="M331" s="8">
        <f>G331*2%</f>
        <v>100000</v>
      </c>
      <c r="N331" s="8">
        <f>G331*4%</f>
        <v>200000</v>
      </c>
      <c r="O331" s="8">
        <f>G331*1%</f>
        <v>50000</v>
      </c>
      <c r="P331">
        <v>0</v>
      </c>
      <c r="Q331" s="13">
        <f>P331*200000</f>
        <v>0</v>
      </c>
      <c r="R331" s="8">
        <v>750000</v>
      </c>
      <c r="S331" s="9">
        <f>8%*G331</f>
        <v>400000</v>
      </c>
    </row>
    <row r="332" spans="1:19" x14ac:dyDescent="0.3">
      <c r="A332">
        <v>330</v>
      </c>
      <c r="B332" s="10" t="s">
        <v>697</v>
      </c>
      <c r="C332" s="10" t="s">
        <v>698</v>
      </c>
      <c r="D332" s="11" t="str">
        <f>VLOOKUP(MID(B332,6,1),'Tabel Acuan'!$A$10:$B$17,2,0)</f>
        <v>Marketing</v>
      </c>
      <c r="E332" t="str">
        <f>VLOOKUP(MID(B332,8,2),'Tabel Acuan'!$A$1:$B$6,2,0)</f>
        <v>Senior Staff</v>
      </c>
      <c r="F332" s="12">
        <v>44671</v>
      </c>
      <c r="G332" s="8" cm="1">
        <f t="array" ref="G332">INDEX('Tabel Acuan'!$F$4:$F$39,
MATCH(1,('Tabel Acuan'!$D$4:$D$39='Data Gaji Pegawai'!D332)*('Tabel Acuan'!$E$4:$E$39='Data Gaji Pegawai'!E332),0))</f>
        <v>6400000</v>
      </c>
      <c r="H332">
        <f>I332/100000</f>
        <v>13</v>
      </c>
      <c r="I332" s="14">
        <v>1300000</v>
      </c>
      <c r="J332">
        <f ca="1">INT((TODAY()-F332)/30.417)</f>
        <v>50</v>
      </c>
      <c r="K332" s="13">
        <f t="shared" ca="1" si="5"/>
        <v>0</v>
      </c>
      <c r="L332" s="8">
        <f>G332*3.7%</f>
        <v>236800.00000000003</v>
      </c>
      <c r="M332" s="8">
        <f>G332*2%</f>
        <v>128000</v>
      </c>
      <c r="N332" s="8">
        <f>G332*4%</f>
        <v>256000</v>
      </c>
      <c r="O332" s="8">
        <f>G332*1%</f>
        <v>64000</v>
      </c>
      <c r="P332">
        <v>8</v>
      </c>
      <c r="Q332" s="13">
        <f>P332*200000</f>
        <v>1600000</v>
      </c>
      <c r="R332" s="8">
        <v>5000000</v>
      </c>
      <c r="S332" s="9">
        <f>8%*G332</f>
        <v>512000</v>
      </c>
    </row>
    <row r="333" spans="1:19" x14ac:dyDescent="0.3">
      <c r="A333">
        <v>331</v>
      </c>
      <c r="B333" s="10" t="s">
        <v>699</v>
      </c>
      <c r="C333" s="10" t="s">
        <v>700</v>
      </c>
      <c r="D333" s="11" t="str">
        <f>VLOOKUP(MID(B333,6,1),'Tabel Acuan'!$A$10:$B$17,2,0)</f>
        <v>Marketing</v>
      </c>
      <c r="E333" t="str">
        <f>VLOOKUP(MID(B333,8,2),'Tabel Acuan'!$A$1:$B$6,2,0)</f>
        <v>Staff</v>
      </c>
      <c r="F333" s="12">
        <v>42557</v>
      </c>
      <c r="G333" s="8" cm="1">
        <f t="array" ref="G333">INDEX('Tabel Acuan'!$F$4:$F$39,
MATCH(1,('Tabel Acuan'!$D$4:$D$39='Data Gaji Pegawai'!D333)*('Tabel Acuan'!$E$4:$E$39='Data Gaji Pegawai'!E333),0))</f>
        <v>5300000</v>
      </c>
      <c r="H333">
        <f>I333/100000</f>
        <v>20</v>
      </c>
      <c r="I333" s="14">
        <v>2000000</v>
      </c>
      <c r="J333">
        <f ca="1">INT((TODAY()-F333)/30.417)</f>
        <v>119</v>
      </c>
      <c r="K333" s="13">
        <f t="shared" ca="1" si="5"/>
        <v>0</v>
      </c>
      <c r="L333" s="8">
        <f>G333*3.7%</f>
        <v>196100.00000000003</v>
      </c>
      <c r="M333" s="8">
        <f>G333*2%</f>
        <v>106000</v>
      </c>
      <c r="N333" s="8">
        <f>G333*4%</f>
        <v>212000</v>
      </c>
      <c r="O333" s="8">
        <f>G333*1%</f>
        <v>53000</v>
      </c>
      <c r="P333">
        <v>6</v>
      </c>
      <c r="Q333" s="13">
        <f>P333*200000</f>
        <v>1200000</v>
      </c>
      <c r="R333" s="8">
        <v>1000000</v>
      </c>
      <c r="S333" s="9">
        <f>8%*G333</f>
        <v>424000</v>
      </c>
    </row>
    <row r="334" spans="1:19" x14ac:dyDescent="0.3">
      <c r="A334">
        <v>332</v>
      </c>
      <c r="B334" s="10" t="s">
        <v>701</v>
      </c>
      <c r="C334" s="10" t="s">
        <v>702</v>
      </c>
      <c r="D334" s="11" t="str">
        <f>VLOOKUP(MID(B334,6,1),'Tabel Acuan'!$A$10:$B$17,2,0)</f>
        <v>Operations</v>
      </c>
      <c r="E334" t="str">
        <f>VLOOKUP(MID(B334,8,2),'Tabel Acuan'!$A$1:$B$6,2,0)</f>
        <v>Senior Staff</v>
      </c>
      <c r="F334" s="12">
        <v>45963</v>
      </c>
      <c r="G334" s="8" cm="1">
        <f t="array" ref="G334">INDEX('Tabel Acuan'!$F$4:$F$39,
MATCH(1,('Tabel Acuan'!$D$4:$D$39='Data Gaji Pegawai'!D334)*('Tabel Acuan'!$E$4:$E$39='Data Gaji Pegawai'!E334),0))</f>
        <v>6300000</v>
      </c>
      <c r="H334">
        <f>I334/100000</f>
        <v>24</v>
      </c>
      <c r="I334" s="14">
        <v>2400000</v>
      </c>
      <c r="J334">
        <f ca="1">INT((TODAY()-F334)/30.417)</f>
        <v>7</v>
      </c>
      <c r="K334" s="13">
        <f t="shared" ca="1" si="5"/>
        <v>0</v>
      </c>
      <c r="L334" s="8">
        <f>G334*3.7%</f>
        <v>233100.00000000003</v>
      </c>
      <c r="M334" s="8">
        <f>G334*2%</f>
        <v>126000</v>
      </c>
      <c r="N334" s="8">
        <f>G334*4%</f>
        <v>252000</v>
      </c>
      <c r="O334" s="8">
        <f>G334*1%</f>
        <v>63000</v>
      </c>
      <c r="P334">
        <v>12</v>
      </c>
      <c r="Q334" s="13">
        <f>P334*200000</f>
        <v>2400000</v>
      </c>
      <c r="R334" s="8">
        <v>1250000</v>
      </c>
      <c r="S334" s="9">
        <f>8%*G334</f>
        <v>504000</v>
      </c>
    </row>
    <row r="335" spans="1:19" x14ac:dyDescent="0.3">
      <c r="A335">
        <v>333</v>
      </c>
      <c r="B335" s="10" t="s">
        <v>703</v>
      </c>
      <c r="C335" s="10" t="s">
        <v>704</v>
      </c>
      <c r="D335" s="11" t="str">
        <f>VLOOKUP(MID(B335,6,1),'Tabel Acuan'!$A$10:$B$17,2,0)</f>
        <v>Operations</v>
      </c>
      <c r="E335" t="str">
        <f>VLOOKUP(MID(B335,8,2),'Tabel Acuan'!$A$1:$B$6,2,0)</f>
        <v>Senior Staff</v>
      </c>
      <c r="F335" s="12">
        <v>44192</v>
      </c>
      <c r="G335" s="8" cm="1">
        <f t="array" ref="G335">INDEX('Tabel Acuan'!$F$4:$F$39,
MATCH(1,('Tabel Acuan'!$D$4:$D$39='Data Gaji Pegawai'!D335)*('Tabel Acuan'!$E$4:$E$39='Data Gaji Pegawai'!E335),0))</f>
        <v>6300000</v>
      </c>
      <c r="H335">
        <f>I335/100000</f>
        <v>51</v>
      </c>
      <c r="I335" s="14">
        <v>5100000</v>
      </c>
      <c r="J335">
        <f ca="1">INT((TODAY()-F335)/30.417)</f>
        <v>66</v>
      </c>
      <c r="K335" s="13">
        <f t="shared" ca="1" si="5"/>
        <v>0</v>
      </c>
      <c r="L335" s="8">
        <f>G335*3.7%</f>
        <v>233100.00000000003</v>
      </c>
      <c r="M335" s="8">
        <f>G335*2%</f>
        <v>126000</v>
      </c>
      <c r="N335" s="8">
        <f>G335*4%</f>
        <v>252000</v>
      </c>
      <c r="O335" s="8">
        <f>G335*1%</f>
        <v>63000</v>
      </c>
      <c r="P335">
        <v>9</v>
      </c>
      <c r="Q335" s="13">
        <f>P335*200000</f>
        <v>1800000</v>
      </c>
      <c r="R335" s="8">
        <v>3000000</v>
      </c>
      <c r="S335" s="9">
        <f>8%*G335</f>
        <v>504000</v>
      </c>
    </row>
    <row r="336" spans="1:19" x14ac:dyDescent="0.3">
      <c r="A336">
        <v>334</v>
      </c>
      <c r="B336" s="10" t="s">
        <v>705</v>
      </c>
      <c r="C336" s="10" t="s">
        <v>706</v>
      </c>
      <c r="D336" s="11" t="str">
        <f>VLOOKUP(MID(B336,6,1),'Tabel Acuan'!$A$10:$B$17,2,0)</f>
        <v>Sales</v>
      </c>
      <c r="E336" t="str">
        <f>VLOOKUP(MID(B336,8,2),'Tabel Acuan'!$A$1:$B$6,2,0)</f>
        <v>Staff</v>
      </c>
      <c r="F336" s="12">
        <v>42526</v>
      </c>
      <c r="G336" s="8" cm="1">
        <f t="array" ref="G336">INDEX('Tabel Acuan'!$F$4:$F$39,
MATCH(1,('Tabel Acuan'!$D$4:$D$39='Data Gaji Pegawai'!D336)*('Tabel Acuan'!$E$4:$E$39='Data Gaji Pegawai'!E336),0))</f>
        <v>5000000</v>
      </c>
      <c r="H336">
        <f>I336/100000</f>
        <v>7</v>
      </c>
      <c r="I336" s="14">
        <v>700000</v>
      </c>
      <c r="J336">
        <f ca="1">INT((TODAY()-F336)/30.417)</f>
        <v>120</v>
      </c>
      <c r="K336" s="13">
        <f t="shared" ca="1" si="5"/>
        <v>0</v>
      </c>
      <c r="L336" s="8">
        <f>G336*3.7%</f>
        <v>185000.00000000003</v>
      </c>
      <c r="M336" s="8">
        <f>G336*2%</f>
        <v>100000</v>
      </c>
      <c r="N336" s="8">
        <f>G336*4%</f>
        <v>200000</v>
      </c>
      <c r="O336" s="8">
        <f>G336*1%</f>
        <v>50000</v>
      </c>
      <c r="P336">
        <v>5</v>
      </c>
      <c r="Q336" s="13">
        <f>P336*200000</f>
        <v>1000000</v>
      </c>
      <c r="R336" s="8">
        <v>500000</v>
      </c>
      <c r="S336" s="9">
        <f>8%*G336</f>
        <v>400000</v>
      </c>
    </row>
    <row r="337" spans="1:19" x14ac:dyDescent="0.3">
      <c r="A337">
        <v>335</v>
      </c>
      <c r="B337" s="10" t="s">
        <v>707</v>
      </c>
      <c r="C337" s="10" t="s">
        <v>708</v>
      </c>
      <c r="D337" s="11" t="str">
        <f>VLOOKUP(MID(B337,6,1),'Tabel Acuan'!$A$10:$B$17,2,0)</f>
        <v>Information Technology (IT)</v>
      </c>
      <c r="E337" t="str">
        <f>VLOOKUP(MID(B337,8,2),'Tabel Acuan'!$A$1:$B$6,2,0)</f>
        <v>Senior Staff</v>
      </c>
      <c r="F337" s="12">
        <v>45123</v>
      </c>
      <c r="G337" s="8" cm="1">
        <f t="array" ref="G337">INDEX('Tabel Acuan'!$F$4:$F$39,
MATCH(1,('Tabel Acuan'!$D$4:$D$39='Data Gaji Pegawai'!D337)*('Tabel Acuan'!$E$4:$E$39='Data Gaji Pegawai'!E337),0))</f>
        <v>7500000</v>
      </c>
      <c r="H337">
        <f>I337/100000</f>
        <v>27</v>
      </c>
      <c r="I337" s="14">
        <v>2700000</v>
      </c>
      <c r="J337">
        <f ca="1">INT((TODAY()-F337)/30.417)</f>
        <v>35</v>
      </c>
      <c r="K337" s="13">
        <f t="shared" ca="1" si="5"/>
        <v>0</v>
      </c>
      <c r="L337" s="8">
        <f>G337*3.7%</f>
        <v>277500.00000000006</v>
      </c>
      <c r="M337" s="8">
        <f>G337*2%</f>
        <v>150000</v>
      </c>
      <c r="N337" s="8">
        <f>G337*4%</f>
        <v>300000</v>
      </c>
      <c r="O337" s="8">
        <f>G337*1%</f>
        <v>75000</v>
      </c>
      <c r="P337">
        <v>5</v>
      </c>
      <c r="Q337" s="13">
        <f>P337*200000</f>
        <v>1000000</v>
      </c>
      <c r="R337" s="8">
        <v>2500000</v>
      </c>
      <c r="S337" s="9">
        <f>8%*G337</f>
        <v>600000</v>
      </c>
    </row>
    <row r="338" spans="1:19" x14ac:dyDescent="0.3">
      <c r="A338">
        <v>336</v>
      </c>
      <c r="B338" s="10" t="s">
        <v>709</v>
      </c>
      <c r="C338" s="10" t="s">
        <v>710</v>
      </c>
      <c r="D338" s="11" t="str">
        <f>VLOOKUP(MID(B338,6,1),'Tabel Acuan'!$A$10:$B$17,2,0)</f>
        <v>Finance</v>
      </c>
      <c r="E338" t="str">
        <f>VLOOKUP(MID(B338,8,2),'Tabel Acuan'!$A$1:$B$6,2,0)</f>
        <v>Senior Staff</v>
      </c>
      <c r="F338" s="12">
        <v>45729</v>
      </c>
      <c r="G338" s="8" cm="1">
        <f t="array" ref="G338">INDEX('Tabel Acuan'!$F$4:$F$39,
MATCH(1,('Tabel Acuan'!$D$4:$D$39='Data Gaji Pegawai'!D338)*('Tabel Acuan'!$E$4:$E$39='Data Gaji Pegawai'!E338),0))</f>
        <v>6600000</v>
      </c>
      <c r="H338">
        <f>I338/100000</f>
        <v>11</v>
      </c>
      <c r="I338" s="14">
        <v>1100000</v>
      </c>
      <c r="J338">
        <f ca="1">INT((TODAY()-F338)/30.417)</f>
        <v>15</v>
      </c>
      <c r="K338" s="13">
        <f t="shared" ca="1" si="5"/>
        <v>0</v>
      </c>
      <c r="L338" s="8">
        <f>G338*3.7%</f>
        <v>244200.00000000003</v>
      </c>
      <c r="M338" s="8">
        <f>G338*2%</f>
        <v>132000</v>
      </c>
      <c r="N338" s="8">
        <f>G338*4%</f>
        <v>264000</v>
      </c>
      <c r="O338" s="8">
        <f>G338*1%</f>
        <v>66000</v>
      </c>
      <c r="P338">
        <v>10</v>
      </c>
      <c r="Q338" s="13">
        <f>P338*200000</f>
        <v>2000000</v>
      </c>
      <c r="R338" s="8">
        <v>3000000</v>
      </c>
      <c r="S338" s="9">
        <f>8%*G338</f>
        <v>528000</v>
      </c>
    </row>
    <row r="339" spans="1:19" x14ac:dyDescent="0.3">
      <c r="A339">
        <v>337</v>
      </c>
      <c r="B339" s="10" t="s">
        <v>711</v>
      </c>
      <c r="C339" s="10" t="s">
        <v>712</v>
      </c>
      <c r="D339" s="11" t="str">
        <f>VLOOKUP(MID(B339,6,1),'Tabel Acuan'!$A$10:$B$17,2,0)</f>
        <v>Operations</v>
      </c>
      <c r="E339" t="str">
        <f>VLOOKUP(MID(B339,8,2),'Tabel Acuan'!$A$1:$B$6,2,0)</f>
        <v>Staff</v>
      </c>
      <c r="F339" s="12">
        <v>42074</v>
      </c>
      <c r="G339" s="8" cm="1">
        <f t="array" ref="G339">INDEX('Tabel Acuan'!$F$4:$F$39,
MATCH(1,('Tabel Acuan'!$D$4:$D$39='Data Gaji Pegawai'!D339)*('Tabel Acuan'!$E$4:$E$39='Data Gaji Pegawai'!E339),0))</f>
        <v>5200000</v>
      </c>
      <c r="H339">
        <f>I339/100000</f>
        <v>12</v>
      </c>
      <c r="I339" s="14">
        <v>1200000</v>
      </c>
      <c r="J339">
        <f ca="1">INT((TODAY()-F339)/30.417)</f>
        <v>135</v>
      </c>
      <c r="K339" s="13">
        <f t="shared" ca="1" si="5"/>
        <v>0</v>
      </c>
      <c r="L339" s="8">
        <f>G339*3.7%</f>
        <v>192400.00000000003</v>
      </c>
      <c r="M339" s="8">
        <f>G339*2%</f>
        <v>104000</v>
      </c>
      <c r="N339" s="8">
        <f>G339*4%</f>
        <v>208000</v>
      </c>
      <c r="O339" s="8">
        <f>G339*1%</f>
        <v>52000</v>
      </c>
      <c r="P339">
        <v>12</v>
      </c>
      <c r="Q339" s="13">
        <f>P339*200000</f>
        <v>2400000</v>
      </c>
      <c r="R339" s="8">
        <v>2500000</v>
      </c>
      <c r="S339" s="9">
        <f>8%*G339</f>
        <v>416000</v>
      </c>
    </row>
    <row r="340" spans="1:19" x14ac:dyDescent="0.3">
      <c r="A340">
        <v>338</v>
      </c>
      <c r="B340" s="10" t="s">
        <v>713</v>
      </c>
      <c r="C340" s="10" t="s">
        <v>714</v>
      </c>
      <c r="D340" s="11" t="str">
        <f>VLOOKUP(MID(B340,6,1),'Tabel Acuan'!$A$10:$B$17,2,0)</f>
        <v>Information Technology (IT)</v>
      </c>
      <c r="E340" t="str">
        <f>VLOOKUP(MID(B340,8,2),'Tabel Acuan'!$A$1:$B$6,2,0)</f>
        <v>Senior Staff</v>
      </c>
      <c r="F340" s="12">
        <v>46021</v>
      </c>
      <c r="G340" s="8" cm="1">
        <f t="array" ref="G340">INDEX('Tabel Acuan'!$F$4:$F$39,
MATCH(1,('Tabel Acuan'!$D$4:$D$39='Data Gaji Pegawai'!D340)*('Tabel Acuan'!$E$4:$E$39='Data Gaji Pegawai'!E340),0))</f>
        <v>7500000</v>
      </c>
      <c r="H340">
        <f>I340/100000</f>
        <v>53</v>
      </c>
      <c r="I340" s="14">
        <v>5300000</v>
      </c>
      <c r="J340">
        <f ca="1">INT((TODAY()-F340)/30.417)</f>
        <v>6</v>
      </c>
      <c r="K340" s="13">
        <f t="shared" ca="1" si="5"/>
        <v>0</v>
      </c>
      <c r="L340" s="8">
        <f>G340*3.7%</f>
        <v>277500.00000000006</v>
      </c>
      <c r="M340" s="8">
        <f>G340*2%</f>
        <v>150000</v>
      </c>
      <c r="N340" s="8">
        <f>G340*4%</f>
        <v>300000</v>
      </c>
      <c r="O340" s="8">
        <f>G340*1%</f>
        <v>75000</v>
      </c>
      <c r="P340">
        <v>14</v>
      </c>
      <c r="Q340" s="13">
        <f>P340*200000</f>
        <v>2800000</v>
      </c>
      <c r="R340" s="8">
        <v>300000</v>
      </c>
      <c r="S340" s="9">
        <f>8%*G340</f>
        <v>600000</v>
      </c>
    </row>
    <row r="341" spans="1:19" x14ac:dyDescent="0.3">
      <c r="A341">
        <v>339</v>
      </c>
      <c r="B341" s="10" t="s">
        <v>715</v>
      </c>
      <c r="C341" s="10" t="s">
        <v>716</v>
      </c>
      <c r="D341" s="11" t="str">
        <f>VLOOKUP(MID(B341,6,1),'Tabel Acuan'!$A$10:$B$17,2,0)</f>
        <v>Human Resources (HR)</v>
      </c>
      <c r="E341" t="str">
        <f>VLOOKUP(MID(B341,8,2),'Tabel Acuan'!$A$1:$B$6,2,0)</f>
        <v>Supervisor</v>
      </c>
      <c r="F341" s="12">
        <v>45308</v>
      </c>
      <c r="G341" s="8" cm="1">
        <f t="array" ref="G341">INDEX('Tabel Acuan'!$F$4:$F$39,
MATCH(1,('Tabel Acuan'!$D$4:$D$39='Data Gaji Pegawai'!D341)*('Tabel Acuan'!$E$4:$E$39='Data Gaji Pegawai'!E341),0))</f>
        <v>7250000</v>
      </c>
      <c r="H341">
        <f>I341/100000</f>
        <v>17</v>
      </c>
      <c r="I341" s="14">
        <v>1700000</v>
      </c>
      <c r="J341">
        <f ca="1">INT((TODAY()-F341)/30.417)</f>
        <v>29</v>
      </c>
      <c r="K341" s="13">
        <f t="shared" ca="1" si="5"/>
        <v>0</v>
      </c>
      <c r="L341" s="8">
        <f>G341*3.7%</f>
        <v>268250.00000000006</v>
      </c>
      <c r="M341" s="8">
        <f>G341*2%</f>
        <v>145000</v>
      </c>
      <c r="N341" s="8">
        <f>G341*4%</f>
        <v>290000</v>
      </c>
      <c r="O341" s="8">
        <f>G341*1%</f>
        <v>72500</v>
      </c>
      <c r="P341">
        <v>7</v>
      </c>
      <c r="Q341" s="13">
        <f>P341*200000</f>
        <v>1400000</v>
      </c>
      <c r="R341" s="8">
        <v>500000</v>
      </c>
      <c r="S341" s="9">
        <f>8%*G341</f>
        <v>580000</v>
      </c>
    </row>
    <row r="342" spans="1:19" x14ac:dyDescent="0.3">
      <c r="A342">
        <v>340</v>
      </c>
      <c r="B342" s="10" t="s">
        <v>717</v>
      </c>
      <c r="C342" s="10" t="s">
        <v>718</v>
      </c>
      <c r="D342" s="11" t="str">
        <f>VLOOKUP(MID(B342,6,1),'Tabel Acuan'!$A$10:$B$17,2,0)</f>
        <v>Marketing</v>
      </c>
      <c r="E342" t="str">
        <f>VLOOKUP(MID(B342,8,2),'Tabel Acuan'!$A$1:$B$6,2,0)</f>
        <v>Supervisor</v>
      </c>
      <c r="F342" s="12">
        <v>44843</v>
      </c>
      <c r="G342" s="8" cm="1">
        <f t="array" ref="G342">INDEX('Tabel Acuan'!$F$4:$F$39,
MATCH(1,('Tabel Acuan'!$D$4:$D$39='Data Gaji Pegawai'!D342)*('Tabel Acuan'!$E$4:$E$39='Data Gaji Pegawai'!E342),0))</f>
        <v>7800000</v>
      </c>
      <c r="H342">
        <f>I342/100000</f>
        <v>32</v>
      </c>
      <c r="I342" s="14">
        <v>3200000</v>
      </c>
      <c r="J342">
        <f ca="1">INT((TODAY()-F342)/30.417)</f>
        <v>44</v>
      </c>
      <c r="K342" s="13">
        <f t="shared" ca="1" si="5"/>
        <v>0</v>
      </c>
      <c r="L342" s="8">
        <f>G342*3.7%</f>
        <v>288600.00000000006</v>
      </c>
      <c r="M342" s="8">
        <f>G342*2%</f>
        <v>156000</v>
      </c>
      <c r="N342" s="8">
        <f>G342*4%</f>
        <v>312000</v>
      </c>
      <c r="O342" s="8">
        <f>G342*1%</f>
        <v>78000</v>
      </c>
      <c r="P342">
        <v>3</v>
      </c>
      <c r="Q342" s="13">
        <f>P342*200000</f>
        <v>600000</v>
      </c>
      <c r="R342" s="8">
        <v>1000000</v>
      </c>
      <c r="S342" s="9">
        <f>8%*G342</f>
        <v>624000</v>
      </c>
    </row>
    <row r="343" spans="1:19" x14ac:dyDescent="0.3">
      <c r="A343">
        <v>341</v>
      </c>
      <c r="B343" s="10" t="s">
        <v>719</v>
      </c>
      <c r="C343" s="10" t="s">
        <v>720</v>
      </c>
      <c r="D343" s="11" t="str">
        <f>VLOOKUP(MID(B343,6,1),'Tabel Acuan'!$A$10:$B$17,2,0)</f>
        <v>Operations</v>
      </c>
      <c r="E343" t="str">
        <f>VLOOKUP(MID(B343,8,2),'Tabel Acuan'!$A$1:$B$6,2,0)</f>
        <v>Manager</v>
      </c>
      <c r="F343" s="12">
        <v>44948</v>
      </c>
      <c r="G343" s="8" cm="1">
        <f t="array" ref="G343">INDEX('Tabel Acuan'!$F$4:$F$39,
MATCH(1,('Tabel Acuan'!$D$4:$D$39='Data Gaji Pegawai'!D343)*('Tabel Acuan'!$E$4:$E$39='Data Gaji Pegawai'!E343),0))</f>
        <v>13000000</v>
      </c>
      <c r="H343">
        <f>I343/100000</f>
        <v>48</v>
      </c>
      <c r="I343" s="14">
        <v>4800000</v>
      </c>
      <c r="J343">
        <f ca="1">INT((TODAY()-F343)/30.417)</f>
        <v>41</v>
      </c>
      <c r="K343" s="13">
        <f t="shared" ca="1" si="5"/>
        <v>0</v>
      </c>
      <c r="L343" s="8">
        <f>G343*3.7%</f>
        <v>481000.00000000006</v>
      </c>
      <c r="M343" s="8">
        <f>G343*2%</f>
        <v>260000</v>
      </c>
      <c r="N343" s="8">
        <f>G343*4%</f>
        <v>520000</v>
      </c>
      <c r="O343" s="8">
        <f>G343*1%</f>
        <v>130000</v>
      </c>
      <c r="P343">
        <v>14</v>
      </c>
      <c r="Q343" s="13">
        <f>P343*200000</f>
        <v>2800000</v>
      </c>
      <c r="R343" s="8">
        <v>1500000</v>
      </c>
      <c r="S343" s="9">
        <f>8%*G343</f>
        <v>1040000</v>
      </c>
    </row>
    <row r="344" spans="1:19" x14ac:dyDescent="0.3">
      <c r="A344">
        <v>342</v>
      </c>
      <c r="B344" s="10" t="s">
        <v>721</v>
      </c>
      <c r="C344" s="10" t="s">
        <v>722</v>
      </c>
      <c r="D344" s="11" t="str">
        <f>VLOOKUP(MID(B344,6,1),'Tabel Acuan'!$A$10:$B$17,2,0)</f>
        <v>Sales</v>
      </c>
      <c r="E344" t="str">
        <f>VLOOKUP(MID(B344,8,2),'Tabel Acuan'!$A$1:$B$6,2,0)</f>
        <v>Supervisor</v>
      </c>
      <c r="F344" s="12">
        <v>42522</v>
      </c>
      <c r="G344" s="8" cm="1">
        <f t="array" ref="G344">INDEX('Tabel Acuan'!$F$4:$F$39,
MATCH(1,('Tabel Acuan'!$D$4:$D$39='Data Gaji Pegawai'!D344)*('Tabel Acuan'!$E$4:$E$39='Data Gaji Pegawai'!E344),0))</f>
        <v>7500000</v>
      </c>
      <c r="H344">
        <f>I344/100000</f>
        <v>55</v>
      </c>
      <c r="I344" s="14">
        <v>5500000</v>
      </c>
      <c r="J344">
        <f ca="1">INT((TODAY()-F344)/30.417)</f>
        <v>121</v>
      </c>
      <c r="K344" s="13">
        <f t="shared" ca="1" si="5"/>
        <v>0</v>
      </c>
      <c r="L344" s="8">
        <f>G344*3.7%</f>
        <v>277500.00000000006</v>
      </c>
      <c r="M344" s="8">
        <f>G344*2%</f>
        <v>150000</v>
      </c>
      <c r="N344" s="8">
        <f>G344*4%</f>
        <v>300000</v>
      </c>
      <c r="O344" s="8">
        <f>G344*1%</f>
        <v>75000</v>
      </c>
      <c r="P344">
        <v>1</v>
      </c>
      <c r="Q344" s="13">
        <f>P344*200000</f>
        <v>200000</v>
      </c>
      <c r="R344" s="8">
        <v>1250000</v>
      </c>
      <c r="S344" s="9">
        <f>8%*G344</f>
        <v>600000</v>
      </c>
    </row>
    <row r="345" spans="1:19" x14ac:dyDescent="0.3">
      <c r="A345">
        <v>343</v>
      </c>
      <c r="B345" s="10" t="s">
        <v>723</v>
      </c>
      <c r="C345" s="10" t="s">
        <v>724</v>
      </c>
      <c r="D345" s="11" t="str">
        <f>VLOOKUP(MID(B345,6,1),'Tabel Acuan'!$A$10:$B$17,2,0)</f>
        <v>Information Technology (IT)</v>
      </c>
      <c r="E345" t="str">
        <f>VLOOKUP(MID(B345,8,2),'Tabel Acuan'!$A$1:$B$6,2,0)</f>
        <v>Assistant Manager</v>
      </c>
      <c r="F345" s="12">
        <v>42491</v>
      </c>
      <c r="G345" s="8" cm="1">
        <f t="array" ref="G345">INDEX('Tabel Acuan'!$F$4:$F$39,
MATCH(1,('Tabel Acuan'!$D$4:$D$39='Data Gaji Pegawai'!D345)*('Tabel Acuan'!$E$4:$E$39='Data Gaji Pegawai'!E345),0))</f>
        <v>11500000</v>
      </c>
      <c r="H345">
        <f>I345/100000</f>
        <v>13</v>
      </c>
      <c r="I345" s="14">
        <v>1300000</v>
      </c>
      <c r="J345">
        <f ca="1">INT((TODAY()-F345)/30.417)</f>
        <v>122</v>
      </c>
      <c r="K345" s="13">
        <f t="shared" ca="1" si="5"/>
        <v>0</v>
      </c>
      <c r="L345" s="8">
        <f>G345*3.7%</f>
        <v>425500.00000000006</v>
      </c>
      <c r="M345" s="8">
        <f>G345*2%</f>
        <v>230000</v>
      </c>
      <c r="N345" s="8">
        <f>G345*4%</f>
        <v>460000</v>
      </c>
      <c r="O345" s="8">
        <f>G345*1%</f>
        <v>115000</v>
      </c>
      <c r="P345">
        <v>11</v>
      </c>
      <c r="Q345" s="13">
        <f>P345*200000</f>
        <v>2200000</v>
      </c>
      <c r="R345" s="8">
        <v>3000000</v>
      </c>
      <c r="S345" s="9">
        <f>8%*G345</f>
        <v>920000</v>
      </c>
    </row>
    <row r="346" spans="1:19" x14ac:dyDescent="0.3">
      <c r="A346">
        <v>344</v>
      </c>
      <c r="B346" s="10" t="s">
        <v>725</v>
      </c>
      <c r="C346" s="10" t="s">
        <v>726</v>
      </c>
      <c r="D346" s="11" t="str">
        <f>VLOOKUP(MID(B346,6,1),'Tabel Acuan'!$A$10:$B$17,2,0)</f>
        <v>Information Technology (IT)</v>
      </c>
      <c r="E346" t="str">
        <f>VLOOKUP(MID(B346,8,2),'Tabel Acuan'!$A$1:$B$6,2,0)</f>
        <v>Staff</v>
      </c>
      <c r="F346" s="12">
        <v>45763</v>
      </c>
      <c r="G346" s="8" cm="1">
        <f t="array" ref="G346">INDEX('Tabel Acuan'!$F$4:$F$39,
MATCH(1,('Tabel Acuan'!$D$4:$D$39='Data Gaji Pegawai'!D346)*('Tabel Acuan'!$E$4:$E$39='Data Gaji Pegawai'!E346),0))</f>
        <v>6000000</v>
      </c>
      <c r="H346">
        <f>I346/100000</f>
        <v>51</v>
      </c>
      <c r="I346" s="14">
        <v>5100000</v>
      </c>
      <c r="J346">
        <f ca="1">INT((TODAY()-F346)/30.417)</f>
        <v>14</v>
      </c>
      <c r="K346" s="13">
        <f t="shared" ca="1" si="5"/>
        <v>0</v>
      </c>
      <c r="L346" s="8">
        <f>G346*3.7%</f>
        <v>222000.00000000003</v>
      </c>
      <c r="M346" s="8">
        <f>G346*2%</f>
        <v>120000</v>
      </c>
      <c r="N346" s="8">
        <f>G346*4%</f>
        <v>240000</v>
      </c>
      <c r="O346" s="8">
        <f>G346*1%</f>
        <v>60000</v>
      </c>
      <c r="P346">
        <v>1</v>
      </c>
      <c r="Q346" s="13">
        <f>P346*200000</f>
        <v>200000</v>
      </c>
      <c r="R346" s="8">
        <v>2500000</v>
      </c>
      <c r="S346" s="9">
        <f>8%*G346</f>
        <v>480000</v>
      </c>
    </row>
    <row r="347" spans="1:19" x14ac:dyDescent="0.3">
      <c r="A347">
        <v>345</v>
      </c>
      <c r="B347" s="10" t="s">
        <v>727</v>
      </c>
      <c r="C347" s="10" t="s">
        <v>728</v>
      </c>
      <c r="D347" s="11" t="str">
        <f>VLOOKUP(MID(B347,6,1),'Tabel Acuan'!$A$10:$B$17,2,0)</f>
        <v>Marketing</v>
      </c>
      <c r="E347" t="str">
        <f>VLOOKUP(MID(B347,8,2),'Tabel Acuan'!$A$1:$B$6,2,0)</f>
        <v>Senior Staff</v>
      </c>
      <c r="F347" s="12">
        <v>43615</v>
      </c>
      <c r="G347" s="8" cm="1">
        <f t="array" ref="G347">INDEX('Tabel Acuan'!$F$4:$F$39,
MATCH(1,('Tabel Acuan'!$D$4:$D$39='Data Gaji Pegawai'!D347)*('Tabel Acuan'!$E$4:$E$39='Data Gaji Pegawai'!E347),0))</f>
        <v>6400000</v>
      </c>
      <c r="H347">
        <f>I347/100000</f>
        <v>18</v>
      </c>
      <c r="I347" s="14">
        <v>1800000</v>
      </c>
      <c r="J347">
        <f ca="1">INT((TODAY()-F347)/30.417)</f>
        <v>85</v>
      </c>
      <c r="K347" s="13">
        <f t="shared" ca="1" si="5"/>
        <v>0</v>
      </c>
      <c r="L347" s="8">
        <f>G347*3.7%</f>
        <v>236800.00000000003</v>
      </c>
      <c r="M347" s="8">
        <f>G347*2%</f>
        <v>128000</v>
      </c>
      <c r="N347" s="8">
        <f>G347*4%</f>
        <v>256000</v>
      </c>
      <c r="O347" s="8">
        <f>G347*1%</f>
        <v>64000</v>
      </c>
      <c r="P347">
        <v>8</v>
      </c>
      <c r="Q347" s="13">
        <f>P347*200000</f>
        <v>1600000</v>
      </c>
      <c r="R347" s="8">
        <v>2500000</v>
      </c>
      <c r="S347" s="9">
        <f>8%*G347</f>
        <v>512000</v>
      </c>
    </row>
    <row r="348" spans="1:19" x14ac:dyDescent="0.3">
      <c r="A348">
        <v>346</v>
      </c>
      <c r="B348" s="10" t="s">
        <v>729</v>
      </c>
      <c r="C348" s="10" t="s">
        <v>730</v>
      </c>
      <c r="D348" s="11" t="str">
        <f>VLOOKUP(MID(B348,6,1),'Tabel Acuan'!$A$10:$B$17,2,0)</f>
        <v>Operations</v>
      </c>
      <c r="E348" t="str">
        <f>VLOOKUP(MID(B348,8,2),'Tabel Acuan'!$A$1:$B$6,2,0)</f>
        <v>Staff</v>
      </c>
      <c r="F348" s="12">
        <v>45688</v>
      </c>
      <c r="G348" s="8" cm="1">
        <f t="array" ref="G348">INDEX('Tabel Acuan'!$F$4:$F$39,
MATCH(1,('Tabel Acuan'!$D$4:$D$39='Data Gaji Pegawai'!D348)*('Tabel Acuan'!$E$4:$E$39='Data Gaji Pegawai'!E348),0))</f>
        <v>5200000</v>
      </c>
      <c r="H348">
        <f>I348/100000</f>
        <v>17</v>
      </c>
      <c r="I348" s="14">
        <v>1700000</v>
      </c>
      <c r="J348">
        <f ca="1">INT((TODAY()-F348)/30.417)</f>
        <v>16</v>
      </c>
      <c r="K348" s="13">
        <f t="shared" ca="1" si="5"/>
        <v>0</v>
      </c>
      <c r="L348" s="8">
        <f>G348*3.7%</f>
        <v>192400.00000000003</v>
      </c>
      <c r="M348" s="8">
        <f>G348*2%</f>
        <v>104000</v>
      </c>
      <c r="N348" s="8">
        <f>G348*4%</f>
        <v>208000</v>
      </c>
      <c r="O348" s="8">
        <f>G348*1%</f>
        <v>52000</v>
      </c>
      <c r="P348">
        <v>4</v>
      </c>
      <c r="Q348" s="13">
        <f>P348*200000</f>
        <v>800000</v>
      </c>
      <c r="R348" s="8">
        <v>500000</v>
      </c>
      <c r="S348" s="9">
        <f>8%*G348</f>
        <v>416000</v>
      </c>
    </row>
    <row r="349" spans="1:19" x14ac:dyDescent="0.3">
      <c r="A349">
        <v>347</v>
      </c>
      <c r="B349" s="10" t="s">
        <v>731</v>
      </c>
      <c r="C349" s="10" t="s">
        <v>732</v>
      </c>
      <c r="D349" s="11" t="str">
        <f>VLOOKUP(MID(B349,6,1),'Tabel Acuan'!$A$10:$B$17,2,0)</f>
        <v>Finance</v>
      </c>
      <c r="E349" t="str">
        <f>VLOOKUP(MID(B349,8,2),'Tabel Acuan'!$A$1:$B$6,2,0)</f>
        <v>Supervisor</v>
      </c>
      <c r="F349" s="12">
        <v>43447</v>
      </c>
      <c r="G349" s="8" cm="1">
        <f t="array" ref="G349">INDEX('Tabel Acuan'!$F$4:$F$39,
MATCH(1,('Tabel Acuan'!$D$4:$D$39='Data Gaji Pegawai'!D349)*('Tabel Acuan'!$E$4:$E$39='Data Gaji Pegawai'!E349),0))</f>
        <v>8000000</v>
      </c>
      <c r="H349">
        <f>I349/100000</f>
        <v>25</v>
      </c>
      <c r="I349" s="14">
        <v>2500000</v>
      </c>
      <c r="J349">
        <f ca="1">INT((TODAY()-F349)/30.417)</f>
        <v>90</v>
      </c>
      <c r="K349" s="13">
        <f t="shared" ca="1" si="5"/>
        <v>0</v>
      </c>
      <c r="L349" s="8">
        <f>G349*3.7%</f>
        <v>296000.00000000006</v>
      </c>
      <c r="M349" s="8">
        <f>G349*2%</f>
        <v>160000</v>
      </c>
      <c r="N349" s="8">
        <f>G349*4%</f>
        <v>320000</v>
      </c>
      <c r="O349" s="8">
        <f>G349*1%</f>
        <v>80000</v>
      </c>
      <c r="P349">
        <v>15</v>
      </c>
      <c r="Q349" s="13">
        <f>P349*200000</f>
        <v>3000000</v>
      </c>
      <c r="R349" s="8">
        <v>0</v>
      </c>
      <c r="S349" s="9">
        <f>8%*G349</f>
        <v>640000</v>
      </c>
    </row>
    <row r="350" spans="1:19" x14ac:dyDescent="0.3">
      <c r="A350">
        <v>348</v>
      </c>
      <c r="B350" s="10" t="s">
        <v>733</v>
      </c>
      <c r="C350" s="10" t="s">
        <v>734</v>
      </c>
      <c r="D350" s="11" t="str">
        <f>VLOOKUP(MID(B350,6,1),'Tabel Acuan'!$A$10:$B$17,2,0)</f>
        <v>Logistics</v>
      </c>
      <c r="E350" t="str">
        <f>VLOOKUP(MID(B350,8,2),'Tabel Acuan'!$A$1:$B$6,2,0)</f>
        <v>Senior Staff</v>
      </c>
      <c r="F350" s="12">
        <v>45696</v>
      </c>
      <c r="G350" s="8" cm="1">
        <f t="array" ref="G350">INDEX('Tabel Acuan'!$F$4:$F$39,
MATCH(1,('Tabel Acuan'!$D$4:$D$39='Data Gaji Pegawai'!D350)*('Tabel Acuan'!$E$4:$E$39='Data Gaji Pegawai'!E350),0))</f>
        <v>6250000</v>
      </c>
      <c r="H350">
        <f>I350/100000</f>
        <v>40</v>
      </c>
      <c r="I350" s="14">
        <v>4000000</v>
      </c>
      <c r="J350">
        <f ca="1">INT((TODAY()-F350)/30.417)</f>
        <v>16</v>
      </c>
      <c r="K350" s="13">
        <f t="shared" ca="1" si="5"/>
        <v>0</v>
      </c>
      <c r="L350" s="8">
        <f>G350*3.7%</f>
        <v>231250.00000000003</v>
      </c>
      <c r="M350" s="8">
        <f>G350*2%</f>
        <v>125000</v>
      </c>
      <c r="N350" s="8">
        <f>G350*4%</f>
        <v>250000</v>
      </c>
      <c r="O350" s="8">
        <f>G350*1%</f>
        <v>62500</v>
      </c>
      <c r="P350">
        <v>2</v>
      </c>
      <c r="Q350" s="13">
        <f>P350*200000</f>
        <v>400000</v>
      </c>
      <c r="R350" s="8">
        <v>4000000</v>
      </c>
      <c r="S350" s="9">
        <f>8%*G350</f>
        <v>500000</v>
      </c>
    </row>
    <row r="351" spans="1:19" x14ac:dyDescent="0.3">
      <c r="A351">
        <v>349</v>
      </c>
      <c r="B351" s="10" t="s">
        <v>735</v>
      </c>
      <c r="C351" s="10" t="s">
        <v>736</v>
      </c>
      <c r="D351" s="11" t="str">
        <f>VLOOKUP(MID(B351,6,1),'Tabel Acuan'!$A$10:$B$17,2,0)</f>
        <v>Sales</v>
      </c>
      <c r="E351" t="str">
        <f>VLOOKUP(MID(B351,8,2),'Tabel Acuan'!$A$1:$B$6,2,0)</f>
        <v>Assistant Manager</v>
      </c>
      <c r="F351" s="12">
        <v>43715</v>
      </c>
      <c r="G351" s="8" cm="1">
        <f t="array" ref="G351">INDEX('Tabel Acuan'!$F$4:$F$39,
MATCH(1,('Tabel Acuan'!$D$4:$D$39='Data Gaji Pegawai'!D351)*('Tabel Acuan'!$E$4:$E$39='Data Gaji Pegawai'!E351),0))</f>
        <v>9500000</v>
      </c>
      <c r="H351">
        <f>I351/100000</f>
        <v>20</v>
      </c>
      <c r="I351" s="14">
        <v>2000000</v>
      </c>
      <c r="J351">
        <f ca="1">INT((TODAY()-F351)/30.417)</f>
        <v>81</v>
      </c>
      <c r="K351" s="13">
        <f t="shared" ca="1" si="5"/>
        <v>0</v>
      </c>
      <c r="L351" s="8">
        <f>G351*3.7%</f>
        <v>351500.00000000006</v>
      </c>
      <c r="M351" s="8">
        <f>G351*2%</f>
        <v>190000</v>
      </c>
      <c r="N351" s="8">
        <f>G351*4%</f>
        <v>380000</v>
      </c>
      <c r="O351" s="8">
        <f>G351*1%</f>
        <v>95000</v>
      </c>
      <c r="P351">
        <v>0</v>
      </c>
      <c r="Q351" s="13">
        <f>P351*200000</f>
        <v>0</v>
      </c>
      <c r="R351" s="8">
        <v>4000000</v>
      </c>
      <c r="S351" s="9">
        <f>8%*G351</f>
        <v>760000</v>
      </c>
    </row>
    <row r="352" spans="1:19" x14ac:dyDescent="0.3">
      <c r="A352">
        <v>350</v>
      </c>
      <c r="B352" s="10" t="s">
        <v>737</v>
      </c>
      <c r="C352" s="10" t="s">
        <v>696</v>
      </c>
      <c r="D352" s="11" t="str">
        <f>VLOOKUP(MID(B352,6,1),'Tabel Acuan'!$A$10:$B$17,2,0)</f>
        <v>Sales</v>
      </c>
      <c r="E352" t="str">
        <f>VLOOKUP(MID(B352,8,2),'Tabel Acuan'!$A$1:$B$6,2,0)</f>
        <v>Manager</v>
      </c>
      <c r="F352" s="12">
        <v>42727</v>
      </c>
      <c r="G352" s="8" cm="1">
        <f t="array" ref="G352">INDEX('Tabel Acuan'!$F$4:$F$39,
MATCH(1,('Tabel Acuan'!$D$4:$D$39='Data Gaji Pegawai'!D352)*('Tabel Acuan'!$E$4:$E$39='Data Gaji Pegawai'!E352),0))</f>
        <v>13000000</v>
      </c>
      <c r="H352">
        <f>I352/100000</f>
        <v>22</v>
      </c>
      <c r="I352" s="14">
        <v>2200000</v>
      </c>
      <c r="J352">
        <f ca="1">INT((TODAY()-F352)/30.417)</f>
        <v>114</v>
      </c>
      <c r="K352" s="13">
        <f t="shared" ca="1" si="5"/>
        <v>0</v>
      </c>
      <c r="L352" s="8">
        <f>G352*3.7%</f>
        <v>481000.00000000006</v>
      </c>
      <c r="M352" s="8">
        <f>G352*2%</f>
        <v>260000</v>
      </c>
      <c r="N352" s="8">
        <f>G352*4%</f>
        <v>520000</v>
      </c>
      <c r="O352" s="8">
        <f>G352*1%</f>
        <v>130000</v>
      </c>
      <c r="P352">
        <v>2</v>
      </c>
      <c r="Q352" s="13">
        <f>P352*200000</f>
        <v>400000</v>
      </c>
      <c r="R352" s="8">
        <v>1500000</v>
      </c>
      <c r="S352" s="9">
        <f>8%*G352</f>
        <v>1040000</v>
      </c>
    </row>
    <row r="353" spans="1:19" x14ac:dyDescent="0.3">
      <c r="A353">
        <v>351</v>
      </c>
      <c r="B353" s="10" t="s">
        <v>738</v>
      </c>
      <c r="C353" s="10" t="s">
        <v>739</v>
      </c>
      <c r="D353" s="11" t="str">
        <f>VLOOKUP(MID(B353,6,1),'Tabel Acuan'!$A$10:$B$17,2,0)</f>
        <v>Information Technology (IT)</v>
      </c>
      <c r="E353" t="str">
        <f>VLOOKUP(MID(B353,8,2),'Tabel Acuan'!$A$1:$B$6,2,0)</f>
        <v>Supervisor</v>
      </c>
      <c r="F353" s="12">
        <v>43266</v>
      </c>
      <c r="G353" s="8" cm="1">
        <f t="array" ref="G353">INDEX('Tabel Acuan'!$F$4:$F$39,
MATCH(1,('Tabel Acuan'!$D$4:$D$39='Data Gaji Pegawai'!D353)*('Tabel Acuan'!$E$4:$E$39='Data Gaji Pegawai'!E353),0))</f>
        <v>9000000</v>
      </c>
      <c r="H353">
        <f>I353/100000</f>
        <v>53</v>
      </c>
      <c r="I353" s="14">
        <v>5300000</v>
      </c>
      <c r="J353">
        <f ca="1">INT((TODAY()-F353)/30.417)</f>
        <v>96</v>
      </c>
      <c r="K353" s="13">
        <f t="shared" ca="1" si="5"/>
        <v>0</v>
      </c>
      <c r="L353" s="8">
        <f>G353*3.7%</f>
        <v>333000.00000000006</v>
      </c>
      <c r="M353" s="8">
        <f>G353*2%</f>
        <v>180000</v>
      </c>
      <c r="N353" s="8">
        <f>G353*4%</f>
        <v>360000</v>
      </c>
      <c r="O353" s="8">
        <f>G353*1%</f>
        <v>90000</v>
      </c>
      <c r="P353">
        <v>9</v>
      </c>
      <c r="Q353" s="13">
        <f>P353*200000</f>
        <v>1800000</v>
      </c>
      <c r="R353" s="8">
        <v>0</v>
      </c>
      <c r="S353" s="9">
        <f>8%*G353</f>
        <v>720000</v>
      </c>
    </row>
    <row r="354" spans="1:19" x14ac:dyDescent="0.3">
      <c r="A354">
        <v>352</v>
      </c>
      <c r="B354" s="10" t="s">
        <v>740</v>
      </c>
      <c r="C354" s="10" t="s">
        <v>741</v>
      </c>
      <c r="D354" s="11" t="str">
        <f>VLOOKUP(MID(B354,6,1),'Tabel Acuan'!$A$10:$B$17,2,0)</f>
        <v>Finance</v>
      </c>
      <c r="E354" t="str">
        <f>VLOOKUP(MID(B354,8,2),'Tabel Acuan'!$A$1:$B$6,2,0)</f>
        <v>Senior Staff</v>
      </c>
      <c r="F354" s="12">
        <v>45641</v>
      </c>
      <c r="G354" s="8" cm="1">
        <f t="array" ref="G354">INDEX('Tabel Acuan'!$F$4:$F$39,
MATCH(1,('Tabel Acuan'!$D$4:$D$39='Data Gaji Pegawai'!D354)*('Tabel Acuan'!$E$4:$E$39='Data Gaji Pegawai'!E354),0))</f>
        <v>6600000</v>
      </c>
      <c r="H354">
        <f>I354/100000</f>
        <v>48</v>
      </c>
      <c r="I354" s="14">
        <v>4800000</v>
      </c>
      <c r="J354">
        <f ca="1">INT((TODAY()-F354)/30.417)</f>
        <v>18</v>
      </c>
      <c r="K354" s="13">
        <f t="shared" ca="1" si="5"/>
        <v>0</v>
      </c>
      <c r="L354" s="8">
        <f>G354*3.7%</f>
        <v>244200.00000000003</v>
      </c>
      <c r="M354" s="8">
        <f>G354*2%</f>
        <v>132000</v>
      </c>
      <c r="N354" s="8">
        <f>G354*4%</f>
        <v>264000</v>
      </c>
      <c r="O354" s="8">
        <f>G354*1%</f>
        <v>66000</v>
      </c>
      <c r="P354">
        <v>1</v>
      </c>
      <c r="Q354" s="13">
        <f>P354*200000</f>
        <v>200000</v>
      </c>
      <c r="R354" s="8">
        <v>0</v>
      </c>
      <c r="S354" s="9">
        <f>8%*G354</f>
        <v>528000</v>
      </c>
    </row>
    <row r="355" spans="1:19" x14ac:dyDescent="0.3">
      <c r="A355">
        <v>353</v>
      </c>
      <c r="B355" s="10" t="s">
        <v>742</v>
      </c>
      <c r="C355" s="10" t="s">
        <v>743</v>
      </c>
      <c r="D355" s="11" t="str">
        <f>VLOOKUP(MID(B355,6,1),'Tabel Acuan'!$A$10:$B$17,2,0)</f>
        <v>Operations</v>
      </c>
      <c r="E355" t="str">
        <f>VLOOKUP(MID(B355,8,2),'Tabel Acuan'!$A$1:$B$6,2,0)</f>
        <v>Supervisor</v>
      </c>
      <c r="F355" s="12">
        <v>45738</v>
      </c>
      <c r="G355" s="8" cm="1">
        <f t="array" ref="G355">INDEX('Tabel Acuan'!$F$4:$F$39,
MATCH(1,('Tabel Acuan'!$D$4:$D$39='Data Gaji Pegawai'!D355)*('Tabel Acuan'!$E$4:$E$39='Data Gaji Pegawai'!E355),0))</f>
        <v>7700000</v>
      </c>
      <c r="H355">
        <f>I355/100000</f>
        <v>28</v>
      </c>
      <c r="I355" s="14">
        <v>2800000</v>
      </c>
      <c r="J355">
        <f ca="1">INT((TODAY()-F355)/30.417)</f>
        <v>15</v>
      </c>
      <c r="K355" s="13">
        <f t="shared" ca="1" si="5"/>
        <v>0</v>
      </c>
      <c r="L355" s="8">
        <f>G355*3.7%</f>
        <v>284900.00000000006</v>
      </c>
      <c r="M355" s="8">
        <f>G355*2%</f>
        <v>154000</v>
      </c>
      <c r="N355" s="8">
        <f>G355*4%</f>
        <v>308000</v>
      </c>
      <c r="O355" s="8">
        <f>G355*1%</f>
        <v>77000</v>
      </c>
      <c r="P355">
        <v>14</v>
      </c>
      <c r="Q355" s="13">
        <f>P355*200000</f>
        <v>2800000</v>
      </c>
      <c r="R355" s="8">
        <v>0</v>
      </c>
      <c r="S355" s="9">
        <f>8%*G355</f>
        <v>616000</v>
      </c>
    </row>
    <row r="356" spans="1:19" x14ac:dyDescent="0.3">
      <c r="A356">
        <v>354</v>
      </c>
      <c r="B356" s="10" t="s">
        <v>744</v>
      </c>
      <c r="C356" s="10" t="s">
        <v>745</v>
      </c>
      <c r="D356" s="11" t="str">
        <f>VLOOKUP(MID(B356,6,1),'Tabel Acuan'!$A$10:$B$17,2,0)</f>
        <v>Finance</v>
      </c>
      <c r="E356" t="str">
        <f>VLOOKUP(MID(B356,8,2),'Tabel Acuan'!$A$1:$B$6,2,0)</f>
        <v>Manager</v>
      </c>
      <c r="F356" s="12">
        <v>44351</v>
      </c>
      <c r="G356" s="8" cm="1">
        <f t="array" ref="G356">INDEX('Tabel Acuan'!$F$4:$F$39,
MATCH(1,('Tabel Acuan'!$D$4:$D$39='Data Gaji Pegawai'!D356)*('Tabel Acuan'!$E$4:$E$39='Data Gaji Pegawai'!E356),0))</f>
        <v>13500000</v>
      </c>
      <c r="H356">
        <f>I356/100000</f>
        <v>10</v>
      </c>
      <c r="I356" s="14">
        <v>1000000</v>
      </c>
      <c r="J356">
        <f ca="1">INT((TODAY()-F356)/30.417)</f>
        <v>60</v>
      </c>
      <c r="K356" s="13">
        <f t="shared" ca="1" si="5"/>
        <v>0</v>
      </c>
      <c r="L356" s="8">
        <f>G356*3.7%</f>
        <v>499500.00000000006</v>
      </c>
      <c r="M356" s="8">
        <f>G356*2%</f>
        <v>270000</v>
      </c>
      <c r="N356" s="8">
        <f>G356*4%</f>
        <v>540000</v>
      </c>
      <c r="O356" s="8">
        <f>G356*1%</f>
        <v>135000</v>
      </c>
      <c r="P356">
        <v>8</v>
      </c>
      <c r="Q356" s="13">
        <f>P356*200000</f>
        <v>1600000</v>
      </c>
      <c r="R356" s="8">
        <v>0</v>
      </c>
      <c r="S356" s="9">
        <f>8%*G356</f>
        <v>1080000</v>
      </c>
    </row>
    <row r="357" spans="1:19" x14ac:dyDescent="0.3">
      <c r="A357">
        <v>355</v>
      </c>
      <c r="B357" s="10" t="s">
        <v>746</v>
      </c>
      <c r="C357" s="10" t="s">
        <v>747</v>
      </c>
      <c r="D357" s="11" t="str">
        <f>VLOOKUP(MID(B357,6,1),'Tabel Acuan'!$A$10:$B$17,2,0)</f>
        <v>Logistics</v>
      </c>
      <c r="E357" t="str">
        <f>VLOOKUP(MID(B357,8,2),'Tabel Acuan'!$A$1:$B$6,2,0)</f>
        <v>Staff</v>
      </c>
      <c r="F357" s="12">
        <v>43915</v>
      </c>
      <c r="G357" s="8" cm="1">
        <f t="array" ref="G357">INDEX('Tabel Acuan'!$F$4:$F$39,
MATCH(1,('Tabel Acuan'!$D$4:$D$39='Data Gaji Pegawai'!D357)*('Tabel Acuan'!$E$4:$E$39='Data Gaji Pegawai'!E357),0))</f>
        <v>5200000</v>
      </c>
      <c r="H357">
        <f>I357/100000</f>
        <v>3</v>
      </c>
      <c r="I357" s="14">
        <v>300000</v>
      </c>
      <c r="J357">
        <f ca="1">INT((TODAY()-F357)/30.417)</f>
        <v>75</v>
      </c>
      <c r="K357" s="13">
        <f t="shared" ca="1" si="5"/>
        <v>0</v>
      </c>
      <c r="L357" s="8">
        <f>G357*3.7%</f>
        <v>192400.00000000003</v>
      </c>
      <c r="M357" s="8">
        <f>G357*2%</f>
        <v>104000</v>
      </c>
      <c r="N357" s="8">
        <f>G357*4%</f>
        <v>208000</v>
      </c>
      <c r="O357" s="8">
        <f>G357*1%</f>
        <v>52000</v>
      </c>
      <c r="P357">
        <v>12</v>
      </c>
      <c r="Q357" s="13">
        <f>P357*200000</f>
        <v>2400000</v>
      </c>
      <c r="R357" s="8">
        <v>4000000</v>
      </c>
      <c r="S357" s="9">
        <f>8%*G357</f>
        <v>416000</v>
      </c>
    </row>
    <row r="358" spans="1:19" x14ac:dyDescent="0.3">
      <c r="A358">
        <v>356</v>
      </c>
      <c r="B358" s="10" t="s">
        <v>748</v>
      </c>
      <c r="C358" s="10" t="s">
        <v>749</v>
      </c>
      <c r="D358" s="11" t="str">
        <f>VLOOKUP(MID(B358,6,1),'Tabel Acuan'!$A$10:$B$17,2,0)</f>
        <v>Information Technology (IT)</v>
      </c>
      <c r="E358" t="str">
        <f>VLOOKUP(MID(B358,8,2),'Tabel Acuan'!$A$1:$B$6,2,0)</f>
        <v>Senior Staff</v>
      </c>
      <c r="F358" s="12">
        <v>43101</v>
      </c>
      <c r="G358" s="8" cm="1">
        <f t="array" ref="G358">INDEX('Tabel Acuan'!$F$4:$F$39,
MATCH(1,('Tabel Acuan'!$D$4:$D$39='Data Gaji Pegawai'!D358)*('Tabel Acuan'!$E$4:$E$39='Data Gaji Pegawai'!E358),0))</f>
        <v>7500000</v>
      </c>
      <c r="H358">
        <f>I358/100000</f>
        <v>13</v>
      </c>
      <c r="I358" s="14">
        <v>1300000</v>
      </c>
      <c r="J358">
        <f ca="1">INT((TODAY()-F358)/30.417)</f>
        <v>102</v>
      </c>
      <c r="K358" s="13">
        <f t="shared" ca="1" si="5"/>
        <v>0</v>
      </c>
      <c r="L358" s="8">
        <f>G358*3.7%</f>
        <v>277500.00000000006</v>
      </c>
      <c r="M358" s="8">
        <f>G358*2%</f>
        <v>150000</v>
      </c>
      <c r="N358" s="8">
        <f>G358*4%</f>
        <v>300000</v>
      </c>
      <c r="O358" s="8">
        <f>G358*1%</f>
        <v>75000</v>
      </c>
      <c r="P358">
        <v>15</v>
      </c>
      <c r="Q358" s="13">
        <f>P358*200000</f>
        <v>3000000</v>
      </c>
      <c r="R358" s="8">
        <v>0</v>
      </c>
      <c r="S358" s="9">
        <f>8%*G358</f>
        <v>600000</v>
      </c>
    </row>
    <row r="359" spans="1:19" x14ac:dyDescent="0.3">
      <c r="A359">
        <v>357</v>
      </c>
      <c r="B359" s="10" t="s">
        <v>750</v>
      </c>
      <c r="C359" s="10" t="s">
        <v>751</v>
      </c>
      <c r="D359" s="11" t="str">
        <f>VLOOKUP(MID(B359,6,1),'Tabel Acuan'!$A$10:$B$17,2,0)</f>
        <v>Finance</v>
      </c>
      <c r="E359" t="str">
        <f>VLOOKUP(MID(B359,8,2),'Tabel Acuan'!$A$1:$B$6,2,0)</f>
        <v>Senior Staff</v>
      </c>
      <c r="F359" s="12">
        <v>45296</v>
      </c>
      <c r="G359" s="8" cm="1">
        <f t="array" ref="G359">INDEX('Tabel Acuan'!$F$4:$F$39,
MATCH(1,('Tabel Acuan'!$D$4:$D$39='Data Gaji Pegawai'!D359)*('Tabel Acuan'!$E$4:$E$39='Data Gaji Pegawai'!E359),0))</f>
        <v>6600000</v>
      </c>
      <c r="H359">
        <f>I359/100000</f>
        <v>44</v>
      </c>
      <c r="I359" s="14">
        <v>4400000</v>
      </c>
      <c r="J359">
        <f ca="1">INT((TODAY()-F359)/30.417)</f>
        <v>29</v>
      </c>
      <c r="K359" s="13">
        <f t="shared" ca="1" si="5"/>
        <v>0</v>
      </c>
      <c r="L359" s="8">
        <f>G359*3.7%</f>
        <v>244200.00000000003</v>
      </c>
      <c r="M359" s="8">
        <f>G359*2%</f>
        <v>132000</v>
      </c>
      <c r="N359" s="8">
        <f>G359*4%</f>
        <v>264000</v>
      </c>
      <c r="O359" s="8">
        <f>G359*1%</f>
        <v>66000</v>
      </c>
      <c r="P359">
        <v>10</v>
      </c>
      <c r="Q359" s="13">
        <f>P359*200000</f>
        <v>2000000</v>
      </c>
      <c r="R359" s="8">
        <v>1500000</v>
      </c>
      <c r="S359" s="9">
        <f>8%*G359</f>
        <v>528000</v>
      </c>
    </row>
    <row r="360" spans="1:19" x14ac:dyDescent="0.3">
      <c r="A360">
        <v>358</v>
      </c>
      <c r="B360" s="10" t="s">
        <v>752</v>
      </c>
      <c r="C360" s="10" t="s">
        <v>753</v>
      </c>
      <c r="D360" s="11" t="str">
        <f>VLOOKUP(MID(B360,6,1),'Tabel Acuan'!$A$10:$B$17,2,0)</f>
        <v>Information Technology (IT)</v>
      </c>
      <c r="E360" t="str">
        <f>VLOOKUP(MID(B360,8,2),'Tabel Acuan'!$A$1:$B$6,2,0)</f>
        <v>Staff</v>
      </c>
      <c r="F360" s="12">
        <v>42788</v>
      </c>
      <c r="G360" s="8" cm="1">
        <f t="array" ref="G360">INDEX('Tabel Acuan'!$F$4:$F$39,
MATCH(1,('Tabel Acuan'!$D$4:$D$39='Data Gaji Pegawai'!D360)*('Tabel Acuan'!$E$4:$E$39='Data Gaji Pegawai'!E360),0))</f>
        <v>6000000</v>
      </c>
      <c r="H360">
        <f>I360/100000</f>
        <v>6</v>
      </c>
      <c r="I360" s="14">
        <v>600000</v>
      </c>
      <c r="J360">
        <f ca="1">INT((TODAY()-F360)/30.417)</f>
        <v>112</v>
      </c>
      <c r="K360" s="13">
        <f t="shared" ca="1" si="5"/>
        <v>0</v>
      </c>
      <c r="L360" s="8">
        <f>G360*3.7%</f>
        <v>222000.00000000003</v>
      </c>
      <c r="M360" s="8">
        <f>G360*2%</f>
        <v>120000</v>
      </c>
      <c r="N360" s="8">
        <f>G360*4%</f>
        <v>240000</v>
      </c>
      <c r="O360" s="8">
        <f>G360*1%</f>
        <v>60000</v>
      </c>
      <c r="P360">
        <v>10</v>
      </c>
      <c r="Q360" s="13">
        <f>P360*200000</f>
        <v>2000000</v>
      </c>
      <c r="R360" s="8">
        <v>1000000</v>
      </c>
      <c r="S360" s="9">
        <f>8%*G360</f>
        <v>480000</v>
      </c>
    </row>
    <row r="361" spans="1:19" x14ac:dyDescent="0.3">
      <c r="A361">
        <v>359</v>
      </c>
      <c r="B361" s="10" t="s">
        <v>754</v>
      </c>
      <c r="C361" s="10" t="s">
        <v>755</v>
      </c>
      <c r="D361" s="11" t="str">
        <f>VLOOKUP(MID(B361,6,1),'Tabel Acuan'!$A$10:$B$17,2,0)</f>
        <v>Information Technology (IT)</v>
      </c>
      <c r="E361" t="str">
        <f>VLOOKUP(MID(B361,8,2),'Tabel Acuan'!$A$1:$B$6,2,0)</f>
        <v>Supervisor</v>
      </c>
      <c r="F361" s="12">
        <v>43064</v>
      </c>
      <c r="G361" s="8" cm="1">
        <f t="array" ref="G361">INDEX('Tabel Acuan'!$F$4:$F$39,
MATCH(1,('Tabel Acuan'!$D$4:$D$39='Data Gaji Pegawai'!D361)*('Tabel Acuan'!$E$4:$E$39='Data Gaji Pegawai'!E361),0))</f>
        <v>9000000</v>
      </c>
      <c r="H361">
        <f>I361/100000</f>
        <v>43</v>
      </c>
      <c r="I361" s="14">
        <v>4300000</v>
      </c>
      <c r="J361">
        <f ca="1">INT((TODAY()-F361)/30.417)</f>
        <v>103</v>
      </c>
      <c r="K361" s="13">
        <f t="shared" ca="1" si="5"/>
        <v>0</v>
      </c>
      <c r="L361" s="8">
        <f>G361*3.7%</f>
        <v>333000.00000000006</v>
      </c>
      <c r="M361" s="8">
        <f>G361*2%</f>
        <v>180000</v>
      </c>
      <c r="N361" s="8">
        <f>G361*4%</f>
        <v>360000</v>
      </c>
      <c r="O361" s="8">
        <f>G361*1%</f>
        <v>90000</v>
      </c>
      <c r="P361">
        <v>4</v>
      </c>
      <c r="Q361" s="13">
        <f>P361*200000</f>
        <v>800000</v>
      </c>
      <c r="R361" s="8">
        <v>0</v>
      </c>
      <c r="S361" s="9">
        <f>8%*G361</f>
        <v>720000</v>
      </c>
    </row>
    <row r="362" spans="1:19" x14ac:dyDescent="0.3">
      <c r="A362">
        <v>360</v>
      </c>
      <c r="B362" s="10" t="s">
        <v>756</v>
      </c>
      <c r="C362" s="10" t="s">
        <v>757</v>
      </c>
      <c r="D362" s="11" t="str">
        <f>VLOOKUP(MID(B362,6,1),'Tabel Acuan'!$A$10:$B$17,2,0)</f>
        <v>Human Resources (HR)</v>
      </c>
      <c r="E362" t="str">
        <f>VLOOKUP(MID(B362,8,2),'Tabel Acuan'!$A$1:$B$6,2,0)</f>
        <v>Senior Staff</v>
      </c>
      <c r="F362" s="12">
        <v>45471</v>
      </c>
      <c r="G362" s="8" cm="1">
        <f t="array" ref="G362">INDEX('Tabel Acuan'!$F$4:$F$39,
MATCH(1,('Tabel Acuan'!$D$4:$D$39='Data Gaji Pegawai'!D362)*('Tabel Acuan'!$E$4:$E$39='Data Gaji Pegawai'!E362),0))</f>
        <v>6000000</v>
      </c>
      <c r="H362">
        <f>I362/100000</f>
        <v>46</v>
      </c>
      <c r="I362" s="14">
        <v>4600000</v>
      </c>
      <c r="J362">
        <f ca="1">INT((TODAY()-F362)/30.417)</f>
        <v>24</v>
      </c>
      <c r="K362" s="13">
        <f t="shared" ca="1" si="5"/>
        <v>0</v>
      </c>
      <c r="L362" s="8">
        <f>G362*3.7%</f>
        <v>222000.00000000003</v>
      </c>
      <c r="M362" s="8">
        <f>G362*2%</f>
        <v>120000</v>
      </c>
      <c r="N362" s="8">
        <f>G362*4%</f>
        <v>240000</v>
      </c>
      <c r="O362" s="8">
        <f>G362*1%</f>
        <v>60000</v>
      </c>
      <c r="P362">
        <v>6</v>
      </c>
      <c r="Q362" s="13">
        <f>P362*200000</f>
        <v>1200000</v>
      </c>
      <c r="R362" s="8">
        <v>500000</v>
      </c>
      <c r="S362" s="9">
        <f>8%*G362</f>
        <v>480000</v>
      </c>
    </row>
    <row r="363" spans="1:19" x14ac:dyDescent="0.3">
      <c r="A363">
        <v>361</v>
      </c>
      <c r="B363" s="10" t="s">
        <v>758</v>
      </c>
      <c r="C363" s="10" t="s">
        <v>759</v>
      </c>
      <c r="D363" s="11" t="str">
        <f>VLOOKUP(MID(B363,6,1),'Tabel Acuan'!$A$10:$B$17,2,0)</f>
        <v>Marketing</v>
      </c>
      <c r="E363" t="str">
        <f>VLOOKUP(MID(B363,8,2),'Tabel Acuan'!$A$1:$B$6,2,0)</f>
        <v>Supervisor</v>
      </c>
      <c r="F363" s="12">
        <v>44248</v>
      </c>
      <c r="G363" s="8" cm="1">
        <f t="array" ref="G363">INDEX('Tabel Acuan'!$F$4:$F$39,
MATCH(1,('Tabel Acuan'!$D$4:$D$39='Data Gaji Pegawai'!D363)*('Tabel Acuan'!$E$4:$E$39='Data Gaji Pegawai'!E363),0))</f>
        <v>7800000</v>
      </c>
      <c r="H363">
        <f>I363/100000</f>
        <v>8</v>
      </c>
      <c r="I363" s="14">
        <v>800000</v>
      </c>
      <c r="J363">
        <f ca="1">INT((TODAY()-F363)/30.417)</f>
        <v>64</v>
      </c>
      <c r="K363" s="13">
        <f t="shared" ca="1" si="5"/>
        <v>0</v>
      </c>
      <c r="L363" s="8">
        <f>G363*3.7%</f>
        <v>288600.00000000006</v>
      </c>
      <c r="M363" s="8">
        <f>G363*2%</f>
        <v>156000</v>
      </c>
      <c r="N363" s="8">
        <f>G363*4%</f>
        <v>312000</v>
      </c>
      <c r="O363" s="8">
        <f>G363*1%</f>
        <v>78000</v>
      </c>
      <c r="P363">
        <v>3</v>
      </c>
      <c r="Q363" s="13">
        <f>P363*200000</f>
        <v>600000</v>
      </c>
      <c r="R363" s="8">
        <v>1500000</v>
      </c>
      <c r="S363" s="9">
        <f>8%*G363</f>
        <v>624000</v>
      </c>
    </row>
    <row r="364" spans="1:19" x14ac:dyDescent="0.3">
      <c r="A364">
        <v>362</v>
      </c>
      <c r="B364" s="10" t="s">
        <v>760</v>
      </c>
      <c r="C364" s="10" t="s">
        <v>471</v>
      </c>
      <c r="D364" s="11" t="str">
        <f>VLOOKUP(MID(B364,6,1),'Tabel Acuan'!$A$10:$B$17,2,0)</f>
        <v>Information Technology (IT)</v>
      </c>
      <c r="E364" t="str">
        <f>VLOOKUP(MID(B364,8,2),'Tabel Acuan'!$A$1:$B$6,2,0)</f>
        <v>Staff</v>
      </c>
      <c r="F364" s="12">
        <v>43972</v>
      </c>
      <c r="G364" s="8" cm="1">
        <f t="array" ref="G364">INDEX('Tabel Acuan'!$F$4:$F$39,
MATCH(1,('Tabel Acuan'!$D$4:$D$39='Data Gaji Pegawai'!D364)*('Tabel Acuan'!$E$4:$E$39='Data Gaji Pegawai'!E364),0))</f>
        <v>6000000</v>
      </c>
      <c r="H364">
        <f>I364/100000</f>
        <v>41</v>
      </c>
      <c r="I364" s="14">
        <v>4100000</v>
      </c>
      <c r="J364">
        <f ca="1">INT((TODAY()-F364)/30.417)</f>
        <v>73</v>
      </c>
      <c r="K364" s="13">
        <f t="shared" ca="1" si="5"/>
        <v>0</v>
      </c>
      <c r="L364" s="8">
        <f>G364*3.7%</f>
        <v>222000.00000000003</v>
      </c>
      <c r="M364" s="8">
        <f>G364*2%</f>
        <v>120000</v>
      </c>
      <c r="N364" s="8">
        <f>G364*4%</f>
        <v>240000</v>
      </c>
      <c r="O364" s="8">
        <f>G364*1%</f>
        <v>60000</v>
      </c>
      <c r="P364">
        <v>2</v>
      </c>
      <c r="Q364" s="13">
        <f>P364*200000</f>
        <v>400000</v>
      </c>
      <c r="R364" s="8">
        <v>0</v>
      </c>
      <c r="S364" s="9">
        <f>8%*G364</f>
        <v>480000</v>
      </c>
    </row>
    <row r="365" spans="1:19" x14ac:dyDescent="0.3">
      <c r="A365">
        <v>363</v>
      </c>
      <c r="B365" s="10" t="s">
        <v>761</v>
      </c>
      <c r="C365" s="10" t="s">
        <v>762</v>
      </c>
      <c r="D365" s="11" t="str">
        <f>VLOOKUP(MID(B365,6,1),'Tabel Acuan'!$A$10:$B$17,2,0)</f>
        <v>Marketing</v>
      </c>
      <c r="E365" t="str">
        <f>VLOOKUP(MID(B365,8,2),'Tabel Acuan'!$A$1:$B$6,2,0)</f>
        <v>Supervisor</v>
      </c>
      <c r="F365" s="12">
        <v>45645</v>
      </c>
      <c r="G365" s="8" cm="1">
        <f t="array" ref="G365">INDEX('Tabel Acuan'!$F$4:$F$39,
MATCH(1,('Tabel Acuan'!$D$4:$D$39='Data Gaji Pegawai'!D365)*('Tabel Acuan'!$E$4:$E$39='Data Gaji Pegawai'!E365),0))</f>
        <v>7800000</v>
      </c>
      <c r="H365">
        <f>I365/100000</f>
        <v>1</v>
      </c>
      <c r="I365" s="14">
        <v>100000</v>
      </c>
      <c r="J365">
        <f ca="1">INT((TODAY()-F365)/30.417)</f>
        <v>18</v>
      </c>
      <c r="K365" s="13">
        <f t="shared" ca="1" si="5"/>
        <v>0</v>
      </c>
      <c r="L365" s="8">
        <f>G365*3.7%</f>
        <v>288600.00000000006</v>
      </c>
      <c r="M365" s="8">
        <f>G365*2%</f>
        <v>156000</v>
      </c>
      <c r="N365" s="8">
        <f>G365*4%</f>
        <v>312000</v>
      </c>
      <c r="O365" s="8">
        <f>G365*1%</f>
        <v>78000</v>
      </c>
      <c r="P365">
        <v>9</v>
      </c>
      <c r="Q365" s="13">
        <f>P365*200000</f>
        <v>1800000</v>
      </c>
      <c r="R365" s="8">
        <v>0</v>
      </c>
      <c r="S365" s="9">
        <f>8%*G365</f>
        <v>624000</v>
      </c>
    </row>
    <row r="366" spans="1:19" x14ac:dyDescent="0.3">
      <c r="A366">
        <v>364</v>
      </c>
      <c r="B366" s="10" t="s">
        <v>763</v>
      </c>
      <c r="C366" s="10" t="s">
        <v>764</v>
      </c>
      <c r="D366" s="11" t="str">
        <f>VLOOKUP(MID(B366,6,1),'Tabel Acuan'!$A$10:$B$17,2,0)</f>
        <v>Marketing</v>
      </c>
      <c r="E366" t="str">
        <f>VLOOKUP(MID(B366,8,2),'Tabel Acuan'!$A$1:$B$6,2,0)</f>
        <v>Staff</v>
      </c>
      <c r="F366" s="12">
        <v>45622</v>
      </c>
      <c r="G366" s="8" cm="1">
        <f t="array" ref="G366">INDEX('Tabel Acuan'!$F$4:$F$39,
MATCH(1,('Tabel Acuan'!$D$4:$D$39='Data Gaji Pegawai'!D366)*('Tabel Acuan'!$E$4:$E$39='Data Gaji Pegawai'!E366),0))</f>
        <v>5300000</v>
      </c>
      <c r="H366">
        <f>I366/100000</f>
        <v>3</v>
      </c>
      <c r="I366" s="14">
        <v>300000</v>
      </c>
      <c r="J366">
        <f ca="1">INT((TODAY()-F366)/30.417)</f>
        <v>19</v>
      </c>
      <c r="K366" s="13">
        <f t="shared" ca="1" si="5"/>
        <v>0</v>
      </c>
      <c r="L366" s="8">
        <f>G366*3.7%</f>
        <v>196100.00000000003</v>
      </c>
      <c r="M366" s="8">
        <f>G366*2%</f>
        <v>106000</v>
      </c>
      <c r="N366" s="8">
        <f>G366*4%</f>
        <v>212000</v>
      </c>
      <c r="O366" s="8">
        <f>G366*1%</f>
        <v>53000</v>
      </c>
      <c r="P366">
        <v>7</v>
      </c>
      <c r="Q366" s="13">
        <f>P366*200000</f>
        <v>1400000</v>
      </c>
      <c r="R366" s="8">
        <v>300000</v>
      </c>
      <c r="S366" s="9">
        <f>8%*G366</f>
        <v>424000</v>
      </c>
    </row>
    <row r="367" spans="1:19" x14ac:dyDescent="0.3">
      <c r="A367">
        <v>365</v>
      </c>
      <c r="B367" s="10" t="s">
        <v>765</v>
      </c>
      <c r="C367" s="10" t="s">
        <v>766</v>
      </c>
      <c r="D367" s="11" t="str">
        <f>VLOOKUP(MID(B367,6,1),'Tabel Acuan'!$A$10:$B$17,2,0)</f>
        <v>Information Technology (IT)</v>
      </c>
      <c r="E367" t="str">
        <f>VLOOKUP(MID(B367,8,2),'Tabel Acuan'!$A$1:$B$6,2,0)</f>
        <v>Senior Staff</v>
      </c>
      <c r="F367" s="12">
        <v>43107</v>
      </c>
      <c r="G367" s="8" cm="1">
        <f t="array" ref="G367">INDEX('Tabel Acuan'!$F$4:$F$39,
MATCH(1,('Tabel Acuan'!$D$4:$D$39='Data Gaji Pegawai'!D367)*('Tabel Acuan'!$E$4:$E$39='Data Gaji Pegawai'!E367),0))</f>
        <v>7500000</v>
      </c>
      <c r="H367">
        <f>I367/100000</f>
        <v>23</v>
      </c>
      <c r="I367" s="14">
        <v>2300000</v>
      </c>
      <c r="J367">
        <f ca="1">INT((TODAY()-F367)/30.417)</f>
        <v>101</v>
      </c>
      <c r="K367" s="13">
        <f t="shared" ca="1" si="5"/>
        <v>0</v>
      </c>
      <c r="L367" s="8">
        <f>G367*3.7%</f>
        <v>277500.00000000006</v>
      </c>
      <c r="M367" s="8">
        <f>G367*2%</f>
        <v>150000</v>
      </c>
      <c r="N367" s="8">
        <f>G367*4%</f>
        <v>300000</v>
      </c>
      <c r="O367" s="8">
        <f>G367*1%</f>
        <v>75000</v>
      </c>
      <c r="P367">
        <v>10</v>
      </c>
      <c r="Q367" s="13">
        <f>P367*200000</f>
        <v>2000000</v>
      </c>
      <c r="R367" s="8">
        <v>0</v>
      </c>
      <c r="S367" s="9">
        <f>8%*G367</f>
        <v>600000</v>
      </c>
    </row>
    <row r="368" spans="1:19" x14ac:dyDescent="0.3">
      <c r="A368">
        <v>366</v>
      </c>
      <c r="B368" s="10" t="s">
        <v>767</v>
      </c>
      <c r="C368" s="10" t="s">
        <v>768</v>
      </c>
      <c r="D368" s="11" t="str">
        <f>VLOOKUP(MID(B368,6,1),'Tabel Acuan'!$A$10:$B$17,2,0)</f>
        <v>Information Technology (IT)</v>
      </c>
      <c r="E368" t="str">
        <f>VLOOKUP(MID(B368,8,2),'Tabel Acuan'!$A$1:$B$6,2,0)</f>
        <v>Staff</v>
      </c>
      <c r="F368" s="12">
        <v>45533</v>
      </c>
      <c r="G368" s="8" cm="1">
        <f t="array" ref="G368">INDEX('Tabel Acuan'!$F$4:$F$39,
MATCH(1,('Tabel Acuan'!$D$4:$D$39='Data Gaji Pegawai'!D368)*('Tabel Acuan'!$E$4:$E$39='Data Gaji Pegawai'!E368),0))</f>
        <v>6000000</v>
      </c>
      <c r="H368">
        <f>I368/100000</f>
        <v>49</v>
      </c>
      <c r="I368" s="14">
        <v>4900000</v>
      </c>
      <c r="J368">
        <f ca="1">INT((TODAY()-F368)/30.417)</f>
        <v>22</v>
      </c>
      <c r="K368" s="13">
        <f t="shared" ca="1" si="5"/>
        <v>0</v>
      </c>
      <c r="L368" s="8">
        <f>G368*3.7%</f>
        <v>222000.00000000003</v>
      </c>
      <c r="M368" s="8">
        <f>G368*2%</f>
        <v>120000</v>
      </c>
      <c r="N368" s="8">
        <f>G368*4%</f>
        <v>240000</v>
      </c>
      <c r="O368" s="8">
        <f>G368*1%</f>
        <v>60000</v>
      </c>
      <c r="P368">
        <v>2</v>
      </c>
      <c r="Q368" s="13">
        <f>P368*200000</f>
        <v>400000</v>
      </c>
      <c r="R368" s="8">
        <v>0</v>
      </c>
      <c r="S368" s="9">
        <f>8%*G368</f>
        <v>480000</v>
      </c>
    </row>
    <row r="369" spans="1:19" x14ac:dyDescent="0.3">
      <c r="A369">
        <v>367</v>
      </c>
      <c r="B369" s="10" t="s">
        <v>769</v>
      </c>
      <c r="C369" s="10" t="s">
        <v>770</v>
      </c>
      <c r="D369" s="11" t="str">
        <f>VLOOKUP(MID(B369,6,1),'Tabel Acuan'!$A$10:$B$17,2,0)</f>
        <v>Human Resources (HR)</v>
      </c>
      <c r="E369" t="str">
        <f>VLOOKUP(MID(B369,8,2),'Tabel Acuan'!$A$1:$B$6,2,0)</f>
        <v>Staff</v>
      </c>
      <c r="F369" s="12">
        <v>42573</v>
      </c>
      <c r="G369" s="8" cm="1">
        <f t="array" ref="G369">INDEX('Tabel Acuan'!$F$4:$F$39,
MATCH(1,('Tabel Acuan'!$D$4:$D$39='Data Gaji Pegawai'!D369)*('Tabel Acuan'!$E$4:$E$39='Data Gaji Pegawai'!E369),0))</f>
        <v>5000000</v>
      </c>
      <c r="H369">
        <f>I369/100000</f>
        <v>32</v>
      </c>
      <c r="I369" s="14">
        <v>3200000</v>
      </c>
      <c r="J369">
        <f ca="1">INT((TODAY()-F369)/30.417)</f>
        <v>119</v>
      </c>
      <c r="K369" s="13">
        <f t="shared" ca="1" si="5"/>
        <v>0</v>
      </c>
      <c r="L369" s="8">
        <f>G369*3.7%</f>
        <v>185000.00000000003</v>
      </c>
      <c r="M369" s="8">
        <f>G369*2%</f>
        <v>100000</v>
      </c>
      <c r="N369" s="8">
        <f>G369*4%</f>
        <v>200000</v>
      </c>
      <c r="O369" s="8">
        <f>G369*1%</f>
        <v>50000</v>
      </c>
      <c r="P369">
        <v>9</v>
      </c>
      <c r="Q369" s="13">
        <f>P369*200000</f>
        <v>1800000</v>
      </c>
      <c r="R369" s="8">
        <v>2500000</v>
      </c>
      <c r="S369" s="9">
        <f>8%*G369</f>
        <v>400000</v>
      </c>
    </row>
    <row r="370" spans="1:19" x14ac:dyDescent="0.3">
      <c r="A370">
        <v>368</v>
      </c>
      <c r="B370" s="10" t="s">
        <v>771</v>
      </c>
      <c r="C370" s="10" t="s">
        <v>772</v>
      </c>
      <c r="D370" s="11" t="str">
        <f>VLOOKUP(MID(B370,6,1),'Tabel Acuan'!$A$10:$B$17,2,0)</f>
        <v>Information Technology (IT)</v>
      </c>
      <c r="E370" t="str">
        <f>VLOOKUP(MID(B370,8,2),'Tabel Acuan'!$A$1:$B$6,2,0)</f>
        <v>Supervisor</v>
      </c>
      <c r="F370" s="12">
        <v>44471</v>
      </c>
      <c r="G370" s="8" cm="1">
        <f t="array" ref="G370">INDEX('Tabel Acuan'!$F$4:$F$39,
MATCH(1,('Tabel Acuan'!$D$4:$D$39='Data Gaji Pegawai'!D370)*('Tabel Acuan'!$E$4:$E$39='Data Gaji Pegawai'!E370),0))</f>
        <v>9000000</v>
      </c>
      <c r="H370">
        <f>I370/100000</f>
        <v>34</v>
      </c>
      <c r="I370" s="14">
        <v>3400000</v>
      </c>
      <c r="J370">
        <f ca="1">INT((TODAY()-F370)/30.417)</f>
        <v>57</v>
      </c>
      <c r="K370" s="13">
        <f t="shared" ca="1" si="5"/>
        <v>0</v>
      </c>
      <c r="L370" s="8">
        <f>G370*3.7%</f>
        <v>333000.00000000006</v>
      </c>
      <c r="M370" s="8">
        <f>G370*2%</f>
        <v>180000</v>
      </c>
      <c r="N370" s="8">
        <f>G370*4%</f>
        <v>360000</v>
      </c>
      <c r="O370" s="8">
        <f>G370*1%</f>
        <v>90000</v>
      </c>
      <c r="P370">
        <v>4</v>
      </c>
      <c r="Q370" s="13">
        <f>P370*200000</f>
        <v>800000</v>
      </c>
      <c r="R370" s="8">
        <v>0</v>
      </c>
      <c r="S370" s="9">
        <f>8%*G370</f>
        <v>720000</v>
      </c>
    </row>
    <row r="371" spans="1:19" x14ac:dyDescent="0.3">
      <c r="A371">
        <v>369</v>
      </c>
      <c r="B371" s="10" t="s">
        <v>773</v>
      </c>
      <c r="C371" s="10" t="s">
        <v>774</v>
      </c>
      <c r="D371" s="11" t="str">
        <f>VLOOKUP(MID(B371,6,1),'Tabel Acuan'!$A$10:$B$17,2,0)</f>
        <v>Human Resources (HR)</v>
      </c>
      <c r="E371" t="str">
        <f>VLOOKUP(MID(B371,8,2),'Tabel Acuan'!$A$1:$B$6,2,0)</f>
        <v>Senior Staff</v>
      </c>
      <c r="F371" s="12">
        <v>43740</v>
      </c>
      <c r="G371" s="8" cm="1">
        <f t="array" ref="G371">INDEX('Tabel Acuan'!$F$4:$F$39,
MATCH(1,('Tabel Acuan'!$D$4:$D$39='Data Gaji Pegawai'!D371)*('Tabel Acuan'!$E$4:$E$39='Data Gaji Pegawai'!E371),0))</f>
        <v>6000000</v>
      </c>
      <c r="H371">
        <f>I371/100000</f>
        <v>20</v>
      </c>
      <c r="I371" s="14">
        <v>2000000</v>
      </c>
      <c r="J371">
        <f ca="1">INT((TODAY()-F371)/30.417)</f>
        <v>81</v>
      </c>
      <c r="K371" s="13">
        <f t="shared" ca="1" si="5"/>
        <v>0</v>
      </c>
      <c r="L371" s="8">
        <f>G371*3.7%</f>
        <v>222000.00000000003</v>
      </c>
      <c r="M371" s="8">
        <f>G371*2%</f>
        <v>120000</v>
      </c>
      <c r="N371" s="8">
        <f>G371*4%</f>
        <v>240000</v>
      </c>
      <c r="O371" s="8">
        <f>G371*1%</f>
        <v>60000</v>
      </c>
      <c r="P371">
        <v>12</v>
      </c>
      <c r="Q371" s="13">
        <f>P371*200000</f>
        <v>2400000</v>
      </c>
      <c r="R371" s="8">
        <v>5000000</v>
      </c>
      <c r="S371" s="9">
        <f>8%*G371</f>
        <v>480000</v>
      </c>
    </row>
    <row r="372" spans="1:19" x14ac:dyDescent="0.3">
      <c r="A372">
        <v>370</v>
      </c>
      <c r="B372" s="10" t="s">
        <v>775</v>
      </c>
      <c r="C372" s="10" t="s">
        <v>776</v>
      </c>
      <c r="D372" s="11" t="str">
        <f>VLOOKUP(MID(B372,6,1),'Tabel Acuan'!$A$10:$B$17,2,0)</f>
        <v>Sales</v>
      </c>
      <c r="E372" t="str">
        <f>VLOOKUP(MID(B372,8,2),'Tabel Acuan'!$A$1:$B$6,2,0)</f>
        <v>Senior Staff</v>
      </c>
      <c r="F372" s="12">
        <v>45881</v>
      </c>
      <c r="G372" s="8" cm="1">
        <f t="array" ref="G372">INDEX('Tabel Acuan'!$F$4:$F$39,
MATCH(1,('Tabel Acuan'!$D$4:$D$39='Data Gaji Pegawai'!D372)*('Tabel Acuan'!$E$4:$E$39='Data Gaji Pegawai'!E372),0))</f>
        <v>6000000</v>
      </c>
      <c r="H372">
        <f>I372/100000</f>
        <v>46</v>
      </c>
      <c r="I372" s="14">
        <v>4600000</v>
      </c>
      <c r="J372">
        <f ca="1">INT((TODAY()-F372)/30.417)</f>
        <v>10</v>
      </c>
      <c r="K372" s="13">
        <f t="shared" ca="1" si="5"/>
        <v>0</v>
      </c>
      <c r="L372" s="8">
        <f>G372*3.7%</f>
        <v>222000.00000000003</v>
      </c>
      <c r="M372" s="8">
        <f>G372*2%</f>
        <v>120000</v>
      </c>
      <c r="N372" s="8">
        <f>G372*4%</f>
        <v>240000</v>
      </c>
      <c r="O372" s="8">
        <f>G372*1%</f>
        <v>60000</v>
      </c>
      <c r="P372">
        <v>7</v>
      </c>
      <c r="Q372" s="13">
        <f>P372*200000</f>
        <v>1400000</v>
      </c>
      <c r="R372" s="8">
        <v>0</v>
      </c>
      <c r="S372" s="9">
        <f>8%*G372</f>
        <v>480000</v>
      </c>
    </row>
    <row r="373" spans="1:19" x14ac:dyDescent="0.3">
      <c r="A373">
        <v>371</v>
      </c>
      <c r="B373" s="10" t="s">
        <v>777</v>
      </c>
      <c r="C373" s="10" t="s">
        <v>778</v>
      </c>
      <c r="D373" s="11" t="str">
        <f>VLOOKUP(MID(B373,6,1),'Tabel Acuan'!$A$10:$B$17,2,0)</f>
        <v>Information Technology (IT)</v>
      </c>
      <c r="E373" t="str">
        <f>VLOOKUP(MID(B373,8,2),'Tabel Acuan'!$A$1:$B$6,2,0)</f>
        <v>Staff</v>
      </c>
      <c r="F373" s="12">
        <v>42398</v>
      </c>
      <c r="G373" s="8" cm="1">
        <f t="array" ref="G373">INDEX('Tabel Acuan'!$F$4:$F$39,
MATCH(1,('Tabel Acuan'!$D$4:$D$39='Data Gaji Pegawai'!D373)*('Tabel Acuan'!$E$4:$E$39='Data Gaji Pegawai'!E373),0))</f>
        <v>6000000</v>
      </c>
      <c r="H373">
        <f>I373/100000</f>
        <v>19</v>
      </c>
      <c r="I373" s="14">
        <v>1900000</v>
      </c>
      <c r="J373">
        <f ca="1">INT((TODAY()-F373)/30.417)</f>
        <v>125</v>
      </c>
      <c r="K373" s="13">
        <f t="shared" ca="1" si="5"/>
        <v>0</v>
      </c>
      <c r="L373" s="8">
        <f>G373*3.7%</f>
        <v>222000.00000000003</v>
      </c>
      <c r="M373" s="8">
        <f>G373*2%</f>
        <v>120000</v>
      </c>
      <c r="N373" s="8">
        <f>G373*4%</f>
        <v>240000</v>
      </c>
      <c r="O373" s="8">
        <f>G373*1%</f>
        <v>60000</v>
      </c>
      <c r="P373">
        <v>5</v>
      </c>
      <c r="Q373" s="13">
        <f>P373*200000</f>
        <v>1000000</v>
      </c>
      <c r="R373" s="8">
        <v>0</v>
      </c>
      <c r="S373" s="9">
        <f>8%*G373</f>
        <v>480000</v>
      </c>
    </row>
    <row r="374" spans="1:19" x14ac:dyDescent="0.3">
      <c r="A374">
        <v>372</v>
      </c>
      <c r="B374" s="10" t="s">
        <v>779</v>
      </c>
      <c r="C374" s="10" t="s">
        <v>780</v>
      </c>
      <c r="D374" s="11" t="str">
        <f>VLOOKUP(MID(B374,6,1),'Tabel Acuan'!$A$10:$B$17,2,0)</f>
        <v>Sales</v>
      </c>
      <c r="E374" t="str">
        <f>VLOOKUP(MID(B374,8,2),'Tabel Acuan'!$A$1:$B$6,2,0)</f>
        <v>Staff</v>
      </c>
      <c r="F374" s="12">
        <v>43003</v>
      </c>
      <c r="G374" s="8" cm="1">
        <f t="array" ref="G374">INDEX('Tabel Acuan'!$F$4:$F$39,
MATCH(1,('Tabel Acuan'!$D$4:$D$39='Data Gaji Pegawai'!D374)*('Tabel Acuan'!$E$4:$E$39='Data Gaji Pegawai'!E374),0))</f>
        <v>5000000</v>
      </c>
      <c r="H374">
        <f>I374/100000</f>
        <v>33</v>
      </c>
      <c r="I374" s="14">
        <v>3300000</v>
      </c>
      <c r="J374">
        <f ca="1">INT((TODAY()-F374)/30.417)</f>
        <v>105</v>
      </c>
      <c r="K374" s="13">
        <f t="shared" ca="1" si="5"/>
        <v>0</v>
      </c>
      <c r="L374" s="8">
        <f>G374*3.7%</f>
        <v>185000.00000000003</v>
      </c>
      <c r="M374" s="8">
        <f>G374*2%</f>
        <v>100000</v>
      </c>
      <c r="N374" s="8">
        <f>G374*4%</f>
        <v>200000</v>
      </c>
      <c r="O374" s="8">
        <f>G374*1%</f>
        <v>50000</v>
      </c>
      <c r="P374">
        <v>8</v>
      </c>
      <c r="Q374" s="13">
        <f>P374*200000</f>
        <v>1600000</v>
      </c>
      <c r="R374" s="8">
        <v>0</v>
      </c>
      <c r="S374" s="9">
        <f>8%*G374</f>
        <v>400000</v>
      </c>
    </row>
    <row r="375" spans="1:19" x14ac:dyDescent="0.3">
      <c r="A375">
        <v>373</v>
      </c>
      <c r="B375" s="10" t="s">
        <v>781</v>
      </c>
      <c r="C375" s="10" t="s">
        <v>782</v>
      </c>
      <c r="D375" s="11" t="str">
        <f>VLOOKUP(MID(B375,6,1),'Tabel Acuan'!$A$10:$B$17,2,0)</f>
        <v>Sales</v>
      </c>
      <c r="E375" t="str">
        <f>VLOOKUP(MID(B375,8,2),'Tabel Acuan'!$A$1:$B$6,2,0)</f>
        <v>Supervisor</v>
      </c>
      <c r="F375" s="12">
        <v>42796</v>
      </c>
      <c r="G375" s="8" cm="1">
        <f t="array" ref="G375">INDEX('Tabel Acuan'!$F$4:$F$39,
MATCH(1,('Tabel Acuan'!$D$4:$D$39='Data Gaji Pegawai'!D375)*('Tabel Acuan'!$E$4:$E$39='Data Gaji Pegawai'!E375),0))</f>
        <v>7500000</v>
      </c>
      <c r="H375">
        <f>I375/100000</f>
        <v>49</v>
      </c>
      <c r="I375" s="14">
        <v>4900000</v>
      </c>
      <c r="J375">
        <f ca="1">INT((TODAY()-F375)/30.417)</f>
        <v>112</v>
      </c>
      <c r="K375" s="13">
        <f t="shared" ca="1" si="5"/>
        <v>0</v>
      </c>
      <c r="L375" s="8">
        <f>G375*3.7%</f>
        <v>277500.00000000006</v>
      </c>
      <c r="M375" s="8">
        <f>G375*2%</f>
        <v>150000</v>
      </c>
      <c r="N375" s="8">
        <f>G375*4%</f>
        <v>300000</v>
      </c>
      <c r="O375" s="8">
        <f>G375*1%</f>
        <v>75000</v>
      </c>
      <c r="P375">
        <v>0</v>
      </c>
      <c r="Q375" s="13">
        <f>P375*200000</f>
        <v>0</v>
      </c>
      <c r="R375" s="8">
        <v>0</v>
      </c>
      <c r="S375" s="9">
        <f>8%*G375</f>
        <v>600000</v>
      </c>
    </row>
    <row r="376" spans="1:19" x14ac:dyDescent="0.3">
      <c r="A376">
        <v>374</v>
      </c>
      <c r="B376" s="10" t="s">
        <v>783</v>
      </c>
      <c r="C376" s="10" t="s">
        <v>784</v>
      </c>
      <c r="D376" s="11" t="str">
        <f>VLOOKUP(MID(B376,6,1),'Tabel Acuan'!$A$10:$B$17,2,0)</f>
        <v>Logistics</v>
      </c>
      <c r="E376" t="str">
        <f>VLOOKUP(MID(B376,8,2),'Tabel Acuan'!$A$1:$B$6,2,0)</f>
        <v>Senior Staff</v>
      </c>
      <c r="F376" s="12">
        <v>44492</v>
      </c>
      <c r="G376" s="8" cm="1">
        <f t="array" ref="G376">INDEX('Tabel Acuan'!$F$4:$F$39,
MATCH(1,('Tabel Acuan'!$D$4:$D$39='Data Gaji Pegawai'!D376)*('Tabel Acuan'!$E$4:$E$39='Data Gaji Pegawai'!E376),0))</f>
        <v>6250000</v>
      </c>
      <c r="H376">
        <f>I376/100000</f>
        <v>40</v>
      </c>
      <c r="I376" s="14">
        <v>4000000</v>
      </c>
      <c r="J376">
        <f ca="1">INT((TODAY()-F376)/30.417)</f>
        <v>56</v>
      </c>
      <c r="K376" s="13">
        <f t="shared" ca="1" si="5"/>
        <v>0</v>
      </c>
      <c r="L376" s="8">
        <f>G376*3.7%</f>
        <v>231250.00000000003</v>
      </c>
      <c r="M376" s="8">
        <f>G376*2%</f>
        <v>125000</v>
      </c>
      <c r="N376" s="8">
        <f>G376*4%</f>
        <v>250000</v>
      </c>
      <c r="O376" s="8">
        <f>G376*1%</f>
        <v>62500</v>
      </c>
      <c r="P376">
        <v>2</v>
      </c>
      <c r="Q376" s="13">
        <f>P376*200000</f>
        <v>400000</v>
      </c>
      <c r="R376" s="8">
        <v>2500000</v>
      </c>
      <c r="S376" s="9">
        <f>8%*G376</f>
        <v>500000</v>
      </c>
    </row>
    <row r="377" spans="1:19" x14ac:dyDescent="0.3">
      <c r="A377">
        <v>375</v>
      </c>
      <c r="B377" s="10" t="s">
        <v>785</v>
      </c>
      <c r="C377" s="10" t="s">
        <v>786</v>
      </c>
      <c r="D377" s="11" t="str">
        <f>VLOOKUP(MID(B377,6,1),'Tabel Acuan'!$A$10:$B$17,2,0)</f>
        <v>Human Resources (HR)</v>
      </c>
      <c r="E377" t="str">
        <f>VLOOKUP(MID(B377,8,2),'Tabel Acuan'!$A$1:$B$6,2,0)</f>
        <v>Senior Staff</v>
      </c>
      <c r="F377" s="12">
        <v>44019</v>
      </c>
      <c r="G377" s="8" cm="1">
        <f t="array" ref="G377">INDEX('Tabel Acuan'!$F$4:$F$39,
MATCH(1,('Tabel Acuan'!$D$4:$D$39='Data Gaji Pegawai'!D377)*('Tabel Acuan'!$E$4:$E$39='Data Gaji Pegawai'!E377),0))</f>
        <v>6000000</v>
      </c>
      <c r="H377">
        <f>I377/100000</f>
        <v>10</v>
      </c>
      <c r="I377" s="14">
        <v>1000000</v>
      </c>
      <c r="J377">
        <f ca="1">INT((TODAY()-F377)/30.417)</f>
        <v>71</v>
      </c>
      <c r="K377" s="13">
        <f t="shared" ca="1" si="5"/>
        <v>0</v>
      </c>
      <c r="L377" s="8">
        <f>G377*3.7%</f>
        <v>222000.00000000003</v>
      </c>
      <c r="M377" s="8">
        <f>G377*2%</f>
        <v>120000</v>
      </c>
      <c r="N377" s="8">
        <f>G377*4%</f>
        <v>240000</v>
      </c>
      <c r="O377" s="8">
        <f>G377*1%</f>
        <v>60000</v>
      </c>
      <c r="P377">
        <v>8</v>
      </c>
      <c r="Q377" s="13">
        <f>P377*200000</f>
        <v>1600000</v>
      </c>
      <c r="R377" s="8">
        <v>3000000</v>
      </c>
      <c r="S377" s="9">
        <f>8%*G377</f>
        <v>480000</v>
      </c>
    </row>
    <row r="378" spans="1:19" x14ac:dyDescent="0.3">
      <c r="A378">
        <v>376</v>
      </c>
      <c r="B378" s="10" t="s">
        <v>787</v>
      </c>
      <c r="C378" s="10" t="s">
        <v>788</v>
      </c>
      <c r="D378" s="11" t="str">
        <f>VLOOKUP(MID(B378,6,1),'Tabel Acuan'!$A$10:$B$17,2,0)</f>
        <v>Sales</v>
      </c>
      <c r="E378" t="str">
        <f>VLOOKUP(MID(B378,8,2),'Tabel Acuan'!$A$1:$B$6,2,0)</f>
        <v>Staff</v>
      </c>
      <c r="F378" s="12">
        <v>45659</v>
      </c>
      <c r="G378" s="8" cm="1">
        <f t="array" ref="G378">INDEX('Tabel Acuan'!$F$4:$F$39,
MATCH(1,('Tabel Acuan'!$D$4:$D$39='Data Gaji Pegawai'!D378)*('Tabel Acuan'!$E$4:$E$39='Data Gaji Pegawai'!E378),0))</f>
        <v>5000000</v>
      </c>
      <c r="H378">
        <f>I378/100000</f>
        <v>2</v>
      </c>
      <c r="I378" s="14">
        <v>200000</v>
      </c>
      <c r="J378">
        <f ca="1">INT((TODAY()-F378)/30.417)</f>
        <v>17</v>
      </c>
      <c r="K378" s="13">
        <f t="shared" ca="1" si="5"/>
        <v>0</v>
      </c>
      <c r="L378" s="8">
        <f>G378*3.7%</f>
        <v>185000.00000000003</v>
      </c>
      <c r="M378" s="8">
        <f>G378*2%</f>
        <v>100000</v>
      </c>
      <c r="N378" s="8">
        <f>G378*4%</f>
        <v>200000</v>
      </c>
      <c r="O378" s="8">
        <f>G378*1%</f>
        <v>50000</v>
      </c>
      <c r="P378">
        <v>0</v>
      </c>
      <c r="Q378" s="13">
        <f>P378*200000</f>
        <v>0</v>
      </c>
      <c r="R378" s="8">
        <v>0</v>
      </c>
      <c r="S378" s="9">
        <f>8%*G378</f>
        <v>400000</v>
      </c>
    </row>
    <row r="379" spans="1:19" x14ac:dyDescent="0.3">
      <c r="A379">
        <v>377</v>
      </c>
      <c r="B379" s="10" t="s">
        <v>789</v>
      </c>
      <c r="C379" s="10" t="s">
        <v>790</v>
      </c>
      <c r="D379" s="11" t="str">
        <f>VLOOKUP(MID(B379,6,1),'Tabel Acuan'!$A$10:$B$17,2,0)</f>
        <v>Logistics</v>
      </c>
      <c r="E379" t="str">
        <f>VLOOKUP(MID(B379,8,2),'Tabel Acuan'!$A$1:$B$6,2,0)</f>
        <v>Staff</v>
      </c>
      <c r="F379" s="12">
        <v>44580</v>
      </c>
      <c r="G379" s="8" cm="1">
        <f t="array" ref="G379">INDEX('Tabel Acuan'!$F$4:$F$39,
MATCH(1,('Tabel Acuan'!$D$4:$D$39='Data Gaji Pegawai'!D379)*('Tabel Acuan'!$E$4:$E$39='Data Gaji Pegawai'!E379),0))</f>
        <v>5200000</v>
      </c>
      <c r="H379">
        <f>I379/100000</f>
        <v>35</v>
      </c>
      <c r="I379" s="14">
        <v>3500000</v>
      </c>
      <c r="J379">
        <f ca="1">INT((TODAY()-F379)/30.417)</f>
        <v>53</v>
      </c>
      <c r="K379" s="13">
        <f t="shared" ca="1" si="5"/>
        <v>0</v>
      </c>
      <c r="L379" s="8">
        <f>G379*3.7%</f>
        <v>192400.00000000003</v>
      </c>
      <c r="M379" s="8">
        <f>G379*2%</f>
        <v>104000</v>
      </c>
      <c r="N379" s="8">
        <f>G379*4%</f>
        <v>208000</v>
      </c>
      <c r="O379" s="8">
        <f>G379*1%</f>
        <v>52000</v>
      </c>
      <c r="P379">
        <v>13</v>
      </c>
      <c r="Q379" s="13">
        <f>P379*200000</f>
        <v>2600000</v>
      </c>
      <c r="R379" s="8">
        <v>0</v>
      </c>
      <c r="S379" s="9">
        <f>8%*G379</f>
        <v>416000</v>
      </c>
    </row>
    <row r="380" spans="1:19" x14ac:dyDescent="0.3">
      <c r="A380">
        <v>378</v>
      </c>
      <c r="B380" s="10" t="s">
        <v>791</v>
      </c>
      <c r="C380" s="10" t="s">
        <v>792</v>
      </c>
      <c r="D380" s="11" t="str">
        <f>VLOOKUP(MID(B380,6,1),'Tabel Acuan'!$A$10:$B$17,2,0)</f>
        <v>Information Technology (IT)</v>
      </c>
      <c r="E380" t="str">
        <f>VLOOKUP(MID(B380,8,2),'Tabel Acuan'!$A$1:$B$6,2,0)</f>
        <v>Assistant Manager</v>
      </c>
      <c r="F380" s="12">
        <v>43140</v>
      </c>
      <c r="G380" s="8" cm="1">
        <f t="array" ref="G380">INDEX('Tabel Acuan'!$F$4:$F$39,
MATCH(1,('Tabel Acuan'!$D$4:$D$39='Data Gaji Pegawai'!D380)*('Tabel Acuan'!$E$4:$E$39='Data Gaji Pegawai'!E380),0))</f>
        <v>11500000</v>
      </c>
      <c r="H380">
        <f>I380/100000</f>
        <v>36</v>
      </c>
      <c r="I380" s="14">
        <v>3600000</v>
      </c>
      <c r="J380">
        <f ca="1">INT((TODAY()-F380)/30.417)</f>
        <v>100</v>
      </c>
      <c r="K380" s="13">
        <f t="shared" ca="1" si="5"/>
        <v>0</v>
      </c>
      <c r="L380" s="8">
        <f>G380*3.7%</f>
        <v>425500.00000000006</v>
      </c>
      <c r="M380" s="8">
        <f>G380*2%</f>
        <v>230000</v>
      </c>
      <c r="N380" s="8">
        <f>G380*4%</f>
        <v>460000</v>
      </c>
      <c r="O380" s="8">
        <f>G380*1%</f>
        <v>115000</v>
      </c>
      <c r="P380">
        <v>11</v>
      </c>
      <c r="Q380" s="13">
        <f>P380*200000</f>
        <v>2200000</v>
      </c>
      <c r="R380" s="8">
        <v>0</v>
      </c>
      <c r="S380" s="9">
        <f>8%*G380</f>
        <v>920000</v>
      </c>
    </row>
    <row r="381" spans="1:19" x14ac:dyDescent="0.3">
      <c r="A381">
        <v>379</v>
      </c>
      <c r="B381" s="10" t="s">
        <v>793</v>
      </c>
      <c r="C381" s="10" t="s">
        <v>794</v>
      </c>
      <c r="D381" s="11" t="str">
        <f>VLOOKUP(MID(B381,6,1),'Tabel Acuan'!$A$10:$B$17,2,0)</f>
        <v>Human Resources (HR)</v>
      </c>
      <c r="E381" t="str">
        <f>VLOOKUP(MID(B381,8,2),'Tabel Acuan'!$A$1:$B$6,2,0)</f>
        <v>Staff</v>
      </c>
      <c r="F381" s="12">
        <v>45863</v>
      </c>
      <c r="G381" s="8" cm="1">
        <f t="array" ref="G381">INDEX('Tabel Acuan'!$F$4:$F$39,
MATCH(1,('Tabel Acuan'!$D$4:$D$39='Data Gaji Pegawai'!D381)*('Tabel Acuan'!$E$4:$E$39='Data Gaji Pegawai'!E381),0))</f>
        <v>5000000</v>
      </c>
      <c r="H381">
        <f>I381/100000</f>
        <v>4</v>
      </c>
      <c r="I381" s="14">
        <v>400000</v>
      </c>
      <c r="J381">
        <f ca="1">INT((TODAY()-F381)/30.417)</f>
        <v>11</v>
      </c>
      <c r="K381" s="13">
        <f t="shared" ca="1" si="5"/>
        <v>0</v>
      </c>
      <c r="L381" s="8">
        <f>G381*3.7%</f>
        <v>185000.00000000003</v>
      </c>
      <c r="M381" s="8">
        <f>G381*2%</f>
        <v>100000</v>
      </c>
      <c r="N381" s="8">
        <f>G381*4%</f>
        <v>200000</v>
      </c>
      <c r="O381" s="8">
        <f>G381*1%</f>
        <v>50000</v>
      </c>
      <c r="P381">
        <v>14</v>
      </c>
      <c r="Q381" s="13">
        <f>P381*200000</f>
        <v>2800000</v>
      </c>
      <c r="R381" s="8">
        <v>5000000</v>
      </c>
      <c r="S381" s="9">
        <f>8%*G381</f>
        <v>400000</v>
      </c>
    </row>
    <row r="382" spans="1:19" x14ac:dyDescent="0.3">
      <c r="A382">
        <v>380</v>
      </c>
      <c r="B382" s="10" t="s">
        <v>795</v>
      </c>
      <c r="C382" s="10" t="s">
        <v>796</v>
      </c>
      <c r="D382" s="11" t="str">
        <f>VLOOKUP(MID(B382,6,1),'Tabel Acuan'!$A$10:$B$17,2,0)</f>
        <v>Logistics</v>
      </c>
      <c r="E382" t="str">
        <f>VLOOKUP(MID(B382,8,2),'Tabel Acuan'!$A$1:$B$6,2,0)</f>
        <v>Staff</v>
      </c>
      <c r="F382" s="12">
        <v>43654</v>
      </c>
      <c r="G382" s="8" cm="1">
        <f t="array" ref="G382">INDEX('Tabel Acuan'!$F$4:$F$39,
MATCH(1,('Tabel Acuan'!$D$4:$D$39='Data Gaji Pegawai'!D382)*('Tabel Acuan'!$E$4:$E$39='Data Gaji Pegawai'!E382),0))</f>
        <v>5200000</v>
      </c>
      <c r="H382">
        <f>I382/100000</f>
        <v>12</v>
      </c>
      <c r="I382" s="14">
        <v>1200000</v>
      </c>
      <c r="J382">
        <f ca="1">INT((TODAY()-F382)/30.417)</f>
        <v>83</v>
      </c>
      <c r="K382" s="13">
        <f t="shared" ca="1" si="5"/>
        <v>0</v>
      </c>
      <c r="L382" s="8">
        <f>G382*3.7%</f>
        <v>192400.00000000003</v>
      </c>
      <c r="M382" s="8">
        <f>G382*2%</f>
        <v>104000</v>
      </c>
      <c r="N382" s="8">
        <f>G382*4%</f>
        <v>208000</v>
      </c>
      <c r="O382" s="8">
        <f>G382*1%</f>
        <v>52000</v>
      </c>
      <c r="P382">
        <v>9</v>
      </c>
      <c r="Q382" s="13">
        <f>P382*200000</f>
        <v>1800000</v>
      </c>
      <c r="R382" s="8">
        <v>1000000</v>
      </c>
      <c r="S382" s="9">
        <f>8%*G382</f>
        <v>416000</v>
      </c>
    </row>
    <row r="383" spans="1:19" x14ac:dyDescent="0.3">
      <c r="A383">
        <v>381</v>
      </c>
      <c r="B383" s="10" t="s">
        <v>797</v>
      </c>
      <c r="C383" s="10" t="s">
        <v>367</v>
      </c>
      <c r="D383" s="11" t="str">
        <f>VLOOKUP(MID(B383,6,1),'Tabel Acuan'!$A$10:$B$17,2,0)</f>
        <v>Finance</v>
      </c>
      <c r="E383" t="str">
        <f>VLOOKUP(MID(B383,8,2),'Tabel Acuan'!$A$1:$B$6,2,0)</f>
        <v>Senior Staff</v>
      </c>
      <c r="F383" s="12">
        <v>45392</v>
      </c>
      <c r="G383" s="8" cm="1">
        <f t="array" ref="G383">INDEX('Tabel Acuan'!$F$4:$F$39,
MATCH(1,('Tabel Acuan'!$D$4:$D$39='Data Gaji Pegawai'!D383)*('Tabel Acuan'!$E$4:$E$39='Data Gaji Pegawai'!E383),0))</f>
        <v>6600000</v>
      </c>
      <c r="H383">
        <f>I383/100000</f>
        <v>46</v>
      </c>
      <c r="I383" s="14">
        <v>4600000</v>
      </c>
      <c r="J383">
        <f ca="1">INT((TODAY()-F383)/30.417)</f>
        <v>26</v>
      </c>
      <c r="K383" s="13">
        <f t="shared" ca="1" si="5"/>
        <v>0</v>
      </c>
      <c r="L383" s="8">
        <f>G383*3.7%</f>
        <v>244200.00000000003</v>
      </c>
      <c r="M383" s="8">
        <f>G383*2%</f>
        <v>132000</v>
      </c>
      <c r="N383" s="8">
        <f>G383*4%</f>
        <v>264000</v>
      </c>
      <c r="O383" s="8">
        <f>G383*1%</f>
        <v>66000</v>
      </c>
      <c r="P383">
        <v>7</v>
      </c>
      <c r="Q383" s="13">
        <f>P383*200000</f>
        <v>1400000</v>
      </c>
      <c r="R383" s="8">
        <v>0</v>
      </c>
      <c r="S383" s="9">
        <f>8%*G383</f>
        <v>528000</v>
      </c>
    </row>
    <row r="384" spans="1:19" x14ac:dyDescent="0.3">
      <c r="A384">
        <v>382</v>
      </c>
      <c r="B384" s="10" t="s">
        <v>798</v>
      </c>
      <c r="C384" s="10" t="s">
        <v>799</v>
      </c>
      <c r="D384" s="11" t="str">
        <f>VLOOKUP(MID(B384,6,1),'Tabel Acuan'!$A$10:$B$17,2,0)</f>
        <v>Human Resources (HR)</v>
      </c>
      <c r="E384" t="str">
        <f>VLOOKUP(MID(B384,8,2),'Tabel Acuan'!$A$1:$B$6,2,0)</f>
        <v>Staff</v>
      </c>
      <c r="F384" s="12">
        <v>44552</v>
      </c>
      <c r="G384" s="8" cm="1">
        <f t="array" ref="G384">INDEX('Tabel Acuan'!$F$4:$F$39,
MATCH(1,('Tabel Acuan'!$D$4:$D$39='Data Gaji Pegawai'!D384)*('Tabel Acuan'!$E$4:$E$39='Data Gaji Pegawai'!E384),0))</f>
        <v>5000000</v>
      </c>
      <c r="H384">
        <f>I384/100000</f>
        <v>56</v>
      </c>
      <c r="I384" s="14">
        <v>5600000</v>
      </c>
      <c r="J384">
        <f ca="1">INT((TODAY()-F384)/30.417)</f>
        <v>54</v>
      </c>
      <c r="K384" s="13">
        <f t="shared" ca="1" si="5"/>
        <v>0</v>
      </c>
      <c r="L384" s="8">
        <f>G384*3.7%</f>
        <v>185000.00000000003</v>
      </c>
      <c r="M384" s="8">
        <f>G384*2%</f>
        <v>100000</v>
      </c>
      <c r="N384" s="8">
        <f>G384*4%</f>
        <v>200000</v>
      </c>
      <c r="O384" s="8">
        <f>G384*1%</f>
        <v>50000</v>
      </c>
      <c r="P384">
        <v>0</v>
      </c>
      <c r="Q384" s="13">
        <f>P384*200000</f>
        <v>0</v>
      </c>
      <c r="R384" s="8">
        <v>250000</v>
      </c>
      <c r="S384" s="9">
        <f>8%*G384</f>
        <v>400000</v>
      </c>
    </row>
    <row r="385" spans="1:19" x14ac:dyDescent="0.3">
      <c r="A385">
        <v>383</v>
      </c>
      <c r="B385" s="10" t="s">
        <v>800</v>
      </c>
      <c r="C385" s="10" t="s">
        <v>801</v>
      </c>
      <c r="D385" s="11" t="str">
        <f>VLOOKUP(MID(B385,6,1),'Tabel Acuan'!$A$10:$B$17,2,0)</f>
        <v>Information Technology (IT)</v>
      </c>
      <c r="E385" t="str">
        <f>VLOOKUP(MID(B385,8,2),'Tabel Acuan'!$A$1:$B$6,2,0)</f>
        <v>Assistant Manager</v>
      </c>
      <c r="F385" s="12">
        <v>45711</v>
      </c>
      <c r="G385" s="8" cm="1">
        <f t="array" ref="G385">INDEX('Tabel Acuan'!$F$4:$F$39,
MATCH(1,('Tabel Acuan'!$D$4:$D$39='Data Gaji Pegawai'!D385)*('Tabel Acuan'!$E$4:$E$39='Data Gaji Pegawai'!E385),0))</f>
        <v>11500000</v>
      </c>
      <c r="H385">
        <f>I385/100000</f>
        <v>13</v>
      </c>
      <c r="I385" s="14">
        <v>1300000</v>
      </c>
      <c r="J385">
        <f ca="1">INT((TODAY()-F385)/30.417)</f>
        <v>16</v>
      </c>
      <c r="K385" s="13">
        <f t="shared" ca="1" si="5"/>
        <v>0</v>
      </c>
      <c r="L385" s="8">
        <f>G385*3.7%</f>
        <v>425500.00000000006</v>
      </c>
      <c r="M385" s="8">
        <f>G385*2%</f>
        <v>230000</v>
      </c>
      <c r="N385" s="8">
        <f>G385*4%</f>
        <v>460000</v>
      </c>
      <c r="O385" s="8">
        <f>G385*1%</f>
        <v>115000</v>
      </c>
      <c r="P385">
        <v>7</v>
      </c>
      <c r="Q385" s="13">
        <f>P385*200000</f>
        <v>1400000</v>
      </c>
      <c r="R385" s="8">
        <v>250000</v>
      </c>
      <c r="S385" s="9">
        <f>8%*G385</f>
        <v>920000</v>
      </c>
    </row>
    <row r="386" spans="1:19" x14ac:dyDescent="0.3">
      <c r="A386">
        <v>384</v>
      </c>
      <c r="B386" s="10" t="s">
        <v>802</v>
      </c>
      <c r="C386" s="10" t="s">
        <v>803</v>
      </c>
      <c r="D386" s="11" t="str">
        <f>VLOOKUP(MID(B386,6,1),'Tabel Acuan'!$A$10:$B$17,2,0)</f>
        <v>Sales</v>
      </c>
      <c r="E386" t="str">
        <f>VLOOKUP(MID(B386,8,2),'Tabel Acuan'!$A$1:$B$6,2,0)</f>
        <v>Staff</v>
      </c>
      <c r="F386" s="12">
        <v>43002</v>
      </c>
      <c r="G386" s="8" cm="1">
        <f t="array" ref="G386">INDEX('Tabel Acuan'!$F$4:$F$39,
MATCH(1,('Tabel Acuan'!$D$4:$D$39='Data Gaji Pegawai'!D386)*('Tabel Acuan'!$E$4:$E$39='Data Gaji Pegawai'!E386),0))</f>
        <v>5000000</v>
      </c>
      <c r="H386">
        <f>I386/100000</f>
        <v>26</v>
      </c>
      <c r="I386" s="14">
        <v>2600000</v>
      </c>
      <c r="J386">
        <f ca="1">INT((TODAY()-F386)/30.417)</f>
        <v>105</v>
      </c>
      <c r="K386" s="13">
        <f t="shared" ca="1" si="5"/>
        <v>0</v>
      </c>
      <c r="L386" s="8">
        <f>G386*3.7%</f>
        <v>185000.00000000003</v>
      </c>
      <c r="M386" s="8">
        <f>G386*2%</f>
        <v>100000</v>
      </c>
      <c r="N386" s="8">
        <f>G386*4%</f>
        <v>200000</v>
      </c>
      <c r="O386" s="8">
        <f>G386*1%</f>
        <v>50000</v>
      </c>
      <c r="P386">
        <v>11</v>
      </c>
      <c r="Q386" s="13">
        <f>P386*200000</f>
        <v>2200000</v>
      </c>
      <c r="R386" s="8">
        <v>4000000</v>
      </c>
      <c r="S386" s="9">
        <f>8%*G386</f>
        <v>400000</v>
      </c>
    </row>
    <row r="387" spans="1:19" x14ac:dyDescent="0.3">
      <c r="A387">
        <v>385</v>
      </c>
      <c r="B387" s="10" t="s">
        <v>804</v>
      </c>
      <c r="C387" s="10" t="s">
        <v>805</v>
      </c>
      <c r="D387" s="11" t="str">
        <f>VLOOKUP(MID(B387,6,1),'Tabel Acuan'!$A$10:$B$17,2,0)</f>
        <v>Marketing</v>
      </c>
      <c r="E387" t="str">
        <f>VLOOKUP(MID(B387,8,2),'Tabel Acuan'!$A$1:$B$6,2,0)</f>
        <v>Staff</v>
      </c>
      <c r="F387" s="12">
        <v>42571</v>
      </c>
      <c r="G387" s="8" cm="1">
        <f t="array" ref="G387">INDEX('Tabel Acuan'!$F$4:$F$39,
MATCH(1,('Tabel Acuan'!$D$4:$D$39='Data Gaji Pegawai'!D387)*('Tabel Acuan'!$E$4:$E$39='Data Gaji Pegawai'!E387),0))</f>
        <v>5300000</v>
      </c>
      <c r="H387">
        <f>I387/100000</f>
        <v>4</v>
      </c>
      <c r="I387" s="14">
        <v>400000</v>
      </c>
      <c r="J387">
        <f ca="1">INT((TODAY()-F387)/30.417)</f>
        <v>119</v>
      </c>
      <c r="K387" s="13">
        <f t="shared" ca="1" si="5"/>
        <v>0</v>
      </c>
      <c r="L387" s="8">
        <f>G387*3.7%</f>
        <v>196100.00000000003</v>
      </c>
      <c r="M387" s="8">
        <f>G387*2%</f>
        <v>106000</v>
      </c>
      <c r="N387" s="8">
        <f>G387*4%</f>
        <v>212000</v>
      </c>
      <c r="O387" s="8">
        <f>G387*1%</f>
        <v>53000</v>
      </c>
      <c r="P387">
        <v>1</v>
      </c>
      <c r="Q387" s="13">
        <f>P387*200000</f>
        <v>200000</v>
      </c>
      <c r="R387" s="8">
        <v>500000</v>
      </c>
      <c r="S387" s="9">
        <f>8%*G387</f>
        <v>424000</v>
      </c>
    </row>
    <row r="388" spans="1:19" x14ac:dyDescent="0.3">
      <c r="A388">
        <v>386</v>
      </c>
      <c r="B388" s="10" t="s">
        <v>806</v>
      </c>
      <c r="C388" s="10" t="s">
        <v>69</v>
      </c>
      <c r="D388" s="11" t="str">
        <f>VLOOKUP(MID(B388,6,1),'Tabel Acuan'!$A$10:$B$17,2,0)</f>
        <v>Logistics</v>
      </c>
      <c r="E388" t="str">
        <f>VLOOKUP(MID(B388,8,2),'Tabel Acuan'!$A$1:$B$6,2,0)</f>
        <v>Staff</v>
      </c>
      <c r="F388" s="12">
        <v>43459</v>
      </c>
      <c r="G388" s="8" cm="1">
        <f t="array" ref="G388">INDEX('Tabel Acuan'!$F$4:$F$39,
MATCH(1,('Tabel Acuan'!$D$4:$D$39='Data Gaji Pegawai'!D388)*('Tabel Acuan'!$E$4:$E$39='Data Gaji Pegawai'!E388),0))</f>
        <v>5200000</v>
      </c>
      <c r="H388">
        <f>I388/100000</f>
        <v>53</v>
      </c>
      <c r="I388" s="14">
        <v>5300000</v>
      </c>
      <c r="J388">
        <f ca="1">INT((TODAY()-F388)/30.417)</f>
        <v>90</v>
      </c>
      <c r="K388" s="13">
        <f t="shared" ref="K388:K451" ca="1" si="6">IF(MONTH(TODAY())=12, IF(J388&gt;=12,G388,G388*(J388/12)), 0)</f>
        <v>0</v>
      </c>
      <c r="L388" s="8">
        <f>G388*3.7%</f>
        <v>192400.00000000003</v>
      </c>
      <c r="M388" s="8">
        <f>G388*2%</f>
        <v>104000</v>
      </c>
      <c r="N388" s="8">
        <f>G388*4%</f>
        <v>208000</v>
      </c>
      <c r="O388" s="8">
        <f>G388*1%</f>
        <v>52000</v>
      </c>
      <c r="P388">
        <v>10</v>
      </c>
      <c r="Q388" s="13">
        <f>P388*200000</f>
        <v>2000000</v>
      </c>
      <c r="R388" s="8">
        <v>0</v>
      </c>
      <c r="S388" s="9">
        <f>8%*G388</f>
        <v>416000</v>
      </c>
    </row>
    <row r="389" spans="1:19" x14ac:dyDescent="0.3">
      <c r="A389">
        <v>387</v>
      </c>
      <c r="B389" s="10" t="s">
        <v>807</v>
      </c>
      <c r="C389" s="10" t="s">
        <v>808</v>
      </c>
      <c r="D389" s="11" t="str">
        <f>VLOOKUP(MID(B389,6,1),'Tabel Acuan'!$A$10:$B$17,2,0)</f>
        <v>Finance</v>
      </c>
      <c r="E389" t="str">
        <f>VLOOKUP(MID(B389,8,2),'Tabel Acuan'!$A$1:$B$6,2,0)</f>
        <v>Staff</v>
      </c>
      <c r="F389" s="12">
        <v>43765</v>
      </c>
      <c r="G389" s="8" cm="1">
        <f t="array" ref="G389">INDEX('Tabel Acuan'!$F$4:$F$39,
MATCH(1,('Tabel Acuan'!$D$4:$D$39='Data Gaji Pegawai'!D389)*('Tabel Acuan'!$E$4:$E$39='Data Gaji Pegawai'!E389),0))</f>
        <v>5500000</v>
      </c>
      <c r="H389">
        <f>I389/100000</f>
        <v>6</v>
      </c>
      <c r="I389" s="14">
        <v>600000</v>
      </c>
      <c r="J389">
        <f ca="1">INT((TODAY()-F389)/30.417)</f>
        <v>80</v>
      </c>
      <c r="K389" s="13">
        <f t="shared" ca="1" si="6"/>
        <v>0</v>
      </c>
      <c r="L389" s="8">
        <f>G389*3.7%</f>
        <v>203500.00000000003</v>
      </c>
      <c r="M389" s="8">
        <f>G389*2%</f>
        <v>110000</v>
      </c>
      <c r="N389" s="8">
        <f>G389*4%</f>
        <v>220000</v>
      </c>
      <c r="O389" s="8">
        <f>G389*1%</f>
        <v>55000</v>
      </c>
      <c r="P389">
        <v>4</v>
      </c>
      <c r="Q389" s="13">
        <f>P389*200000</f>
        <v>800000</v>
      </c>
      <c r="R389" s="8">
        <v>0</v>
      </c>
      <c r="S389" s="9">
        <f>8%*G389</f>
        <v>440000</v>
      </c>
    </row>
    <row r="390" spans="1:19" x14ac:dyDescent="0.3">
      <c r="A390">
        <v>388</v>
      </c>
      <c r="B390" s="10" t="s">
        <v>809</v>
      </c>
      <c r="C390" s="10" t="s">
        <v>810</v>
      </c>
      <c r="D390" s="11" t="str">
        <f>VLOOKUP(MID(B390,6,1),'Tabel Acuan'!$A$10:$B$17,2,0)</f>
        <v>Information Technology (IT)</v>
      </c>
      <c r="E390" t="str">
        <f>VLOOKUP(MID(B390,8,2),'Tabel Acuan'!$A$1:$B$6,2,0)</f>
        <v>Staff</v>
      </c>
      <c r="F390" s="12">
        <v>44745</v>
      </c>
      <c r="G390" s="8" cm="1">
        <f t="array" ref="G390">INDEX('Tabel Acuan'!$F$4:$F$39,
MATCH(1,('Tabel Acuan'!$D$4:$D$39='Data Gaji Pegawai'!D390)*('Tabel Acuan'!$E$4:$E$39='Data Gaji Pegawai'!E390),0))</f>
        <v>6000000</v>
      </c>
      <c r="H390">
        <f>I390/100000</f>
        <v>49</v>
      </c>
      <c r="I390" s="14">
        <v>4900000</v>
      </c>
      <c r="J390">
        <f ca="1">INT((TODAY()-F390)/30.417)</f>
        <v>47</v>
      </c>
      <c r="K390" s="13">
        <f t="shared" ca="1" si="6"/>
        <v>0</v>
      </c>
      <c r="L390" s="8">
        <f>G390*3.7%</f>
        <v>222000.00000000003</v>
      </c>
      <c r="M390" s="8">
        <f>G390*2%</f>
        <v>120000</v>
      </c>
      <c r="N390" s="8">
        <f>G390*4%</f>
        <v>240000</v>
      </c>
      <c r="O390" s="8">
        <f>G390*1%</f>
        <v>60000</v>
      </c>
      <c r="P390">
        <v>6</v>
      </c>
      <c r="Q390" s="13">
        <f>P390*200000</f>
        <v>1200000</v>
      </c>
      <c r="R390" s="8">
        <v>2000000</v>
      </c>
      <c r="S390" s="9">
        <f>8%*G390</f>
        <v>480000</v>
      </c>
    </row>
    <row r="391" spans="1:19" x14ac:dyDescent="0.3">
      <c r="A391">
        <v>389</v>
      </c>
      <c r="B391" s="10" t="s">
        <v>811</v>
      </c>
      <c r="C391" s="10" t="s">
        <v>812</v>
      </c>
      <c r="D391" s="11" t="str">
        <f>VLOOKUP(MID(B391,6,1),'Tabel Acuan'!$A$10:$B$17,2,0)</f>
        <v>Operations</v>
      </c>
      <c r="E391" t="str">
        <f>VLOOKUP(MID(B391,8,2),'Tabel Acuan'!$A$1:$B$6,2,0)</f>
        <v>Staff</v>
      </c>
      <c r="F391" s="12">
        <v>43621</v>
      </c>
      <c r="G391" s="8" cm="1">
        <f t="array" ref="G391">INDEX('Tabel Acuan'!$F$4:$F$39,
MATCH(1,('Tabel Acuan'!$D$4:$D$39='Data Gaji Pegawai'!D391)*('Tabel Acuan'!$E$4:$E$39='Data Gaji Pegawai'!E391),0))</f>
        <v>5200000</v>
      </c>
      <c r="H391">
        <f>I391/100000</f>
        <v>52</v>
      </c>
      <c r="I391" s="14">
        <v>5200000</v>
      </c>
      <c r="J391">
        <f ca="1">INT((TODAY()-F391)/30.417)</f>
        <v>84</v>
      </c>
      <c r="K391" s="13">
        <f t="shared" ca="1" si="6"/>
        <v>0</v>
      </c>
      <c r="L391" s="8">
        <f>G391*3.7%</f>
        <v>192400.00000000003</v>
      </c>
      <c r="M391" s="8">
        <f>G391*2%</f>
        <v>104000</v>
      </c>
      <c r="N391" s="8">
        <f>G391*4%</f>
        <v>208000</v>
      </c>
      <c r="O391" s="8">
        <f>G391*1%</f>
        <v>52000</v>
      </c>
      <c r="P391">
        <v>1</v>
      </c>
      <c r="Q391" s="13">
        <f>P391*200000</f>
        <v>200000</v>
      </c>
      <c r="R391" s="8">
        <v>0</v>
      </c>
      <c r="S391" s="9">
        <f>8%*G391</f>
        <v>416000</v>
      </c>
    </row>
    <row r="392" spans="1:19" x14ac:dyDescent="0.3">
      <c r="A392">
        <v>390</v>
      </c>
      <c r="B392" s="10" t="s">
        <v>813</v>
      </c>
      <c r="C392" s="10" t="s">
        <v>814</v>
      </c>
      <c r="D392" s="11" t="str">
        <f>VLOOKUP(MID(B392,6,1),'Tabel Acuan'!$A$10:$B$17,2,0)</f>
        <v>Finance</v>
      </c>
      <c r="E392" t="str">
        <f>VLOOKUP(MID(B392,8,2),'Tabel Acuan'!$A$1:$B$6,2,0)</f>
        <v>Staff</v>
      </c>
      <c r="F392" s="12">
        <v>44033</v>
      </c>
      <c r="G392" s="8" cm="1">
        <f t="array" ref="G392">INDEX('Tabel Acuan'!$F$4:$F$39,
MATCH(1,('Tabel Acuan'!$D$4:$D$39='Data Gaji Pegawai'!D392)*('Tabel Acuan'!$E$4:$E$39='Data Gaji Pegawai'!E392),0))</f>
        <v>5500000</v>
      </c>
      <c r="H392">
        <f>I392/100000</f>
        <v>32</v>
      </c>
      <c r="I392" s="14">
        <v>3200000</v>
      </c>
      <c r="J392">
        <f ca="1">INT((TODAY()-F392)/30.417)</f>
        <v>71</v>
      </c>
      <c r="K392" s="13">
        <f t="shared" ca="1" si="6"/>
        <v>0</v>
      </c>
      <c r="L392" s="8">
        <f>G392*3.7%</f>
        <v>203500.00000000003</v>
      </c>
      <c r="M392" s="8">
        <f>G392*2%</f>
        <v>110000</v>
      </c>
      <c r="N392" s="8">
        <f>G392*4%</f>
        <v>220000</v>
      </c>
      <c r="O392" s="8">
        <f>G392*1%</f>
        <v>55000</v>
      </c>
      <c r="P392">
        <v>1</v>
      </c>
      <c r="Q392" s="13">
        <f>P392*200000</f>
        <v>200000</v>
      </c>
      <c r="R392" s="8">
        <v>1000000</v>
      </c>
      <c r="S392" s="9">
        <f>8%*G392</f>
        <v>440000</v>
      </c>
    </row>
    <row r="393" spans="1:19" x14ac:dyDescent="0.3">
      <c r="A393">
        <v>391</v>
      </c>
      <c r="B393" s="10" t="s">
        <v>815</v>
      </c>
      <c r="C393" s="10" t="s">
        <v>816</v>
      </c>
      <c r="D393" s="11" t="str">
        <f>VLOOKUP(MID(B393,6,1),'Tabel Acuan'!$A$10:$B$17,2,0)</f>
        <v>Human Resources (HR)</v>
      </c>
      <c r="E393" t="str">
        <f>VLOOKUP(MID(B393,8,2),'Tabel Acuan'!$A$1:$B$6,2,0)</f>
        <v>Manager</v>
      </c>
      <c r="F393" s="12">
        <v>43017</v>
      </c>
      <c r="G393" s="8" cm="1">
        <f t="array" ref="G393">INDEX('Tabel Acuan'!$F$4:$F$39,
MATCH(1,('Tabel Acuan'!$D$4:$D$39='Data Gaji Pegawai'!D393)*('Tabel Acuan'!$E$4:$E$39='Data Gaji Pegawai'!E393),0))</f>
        <v>12000000</v>
      </c>
      <c r="H393">
        <f>I393/100000</f>
        <v>15</v>
      </c>
      <c r="I393" s="14">
        <v>1500000</v>
      </c>
      <c r="J393">
        <f ca="1">INT((TODAY()-F393)/30.417)</f>
        <v>104</v>
      </c>
      <c r="K393" s="13">
        <f t="shared" ca="1" si="6"/>
        <v>0</v>
      </c>
      <c r="L393" s="8">
        <f>G393*3.7%</f>
        <v>444000.00000000006</v>
      </c>
      <c r="M393" s="8">
        <f>G393*2%</f>
        <v>240000</v>
      </c>
      <c r="N393" s="8">
        <f>G393*4%</f>
        <v>480000</v>
      </c>
      <c r="O393" s="8">
        <f>G393*1%</f>
        <v>120000</v>
      </c>
      <c r="P393">
        <v>3</v>
      </c>
      <c r="Q393" s="13">
        <f>P393*200000</f>
        <v>600000</v>
      </c>
      <c r="R393" s="8">
        <v>5000000</v>
      </c>
      <c r="S393" s="9">
        <f>8%*G393</f>
        <v>960000</v>
      </c>
    </row>
    <row r="394" spans="1:19" x14ac:dyDescent="0.3">
      <c r="A394">
        <v>392</v>
      </c>
      <c r="B394" s="10" t="s">
        <v>817</v>
      </c>
      <c r="C394" s="10" t="s">
        <v>818</v>
      </c>
      <c r="D394" s="11" t="str">
        <f>VLOOKUP(MID(B394,6,1),'Tabel Acuan'!$A$10:$B$17,2,0)</f>
        <v>Human Resources (HR)</v>
      </c>
      <c r="E394" t="str">
        <f>VLOOKUP(MID(B394,8,2),'Tabel Acuan'!$A$1:$B$6,2,0)</f>
        <v>Staff</v>
      </c>
      <c r="F394" s="12">
        <v>42802</v>
      </c>
      <c r="G394" s="8" cm="1">
        <f t="array" ref="G394">INDEX('Tabel Acuan'!$F$4:$F$39,
MATCH(1,('Tabel Acuan'!$D$4:$D$39='Data Gaji Pegawai'!D394)*('Tabel Acuan'!$E$4:$E$39='Data Gaji Pegawai'!E394),0))</f>
        <v>5000000</v>
      </c>
      <c r="H394">
        <f>I394/100000</f>
        <v>12</v>
      </c>
      <c r="I394" s="14">
        <v>1200000</v>
      </c>
      <c r="J394">
        <f ca="1">INT((TODAY()-F394)/30.417)</f>
        <v>111</v>
      </c>
      <c r="K394" s="13">
        <f t="shared" ca="1" si="6"/>
        <v>0</v>
      </c>
      <c r="L394" s="8">
        <f>G394*3.7%</f>
        <v>185000.00000000003</v>
      </c>
      <c r="M394" s="8">
        <f>G394*2%</f>
        <v>100000</v>
      </c>
      <c r="N394" s="8">
        <f>G394*4%</f>
        <v>200000</v>
      </c>
      <c r="O394" s="8">
        <f>G394*1%</f>
        <v>50000</v>
      </c>
      <c r="P394">
        <v>12</v>
      </c>
      <c r="Q394" s="13">
        <f>P394*200000</f>
        <v>2400000</v>
      </c>
      <c r="R394" s="8">
        <v>3500000</v>
      </c>
      <c r="S394" s="9">
        <f>8%*G394</f>
        <v>400000</v>
      </c>
    </row>
    <row r="395" spans="1:19" x14ac:dyDescent="0.3">
      <c r="A395">
        <v>393</v>
      </c>
      <c r="B395" s="10" t="s">
        <v>819</v>
      </c>
      <c r="C395" s="10" t="s">
        <v>820</v>
      </c>
      <c r="D395" s="11" t="str">
        <f>VLOOKUP(MID(B395,6,1),'Tabel Acuan'!$A$10:$B$17,2,0)</f>
        <v>Human Resources (HR)</v>
      </c>
      <c r="E395" t="str">
        <f>VLOOKUP(MID(B395,8,2),'Tabel Acuan'!$A$1:$B$6,2,0)</f>
        <v>Senior Staff</v>
      </c>
      <c r="F395" s="12">
        <v>45669</v>
      </c>
      <c r="G395" s="8" cm="1">
        <f t="array" ref="G395">INDEX('Tabel Acuan'!$F$4:$F$39,
MATCH(1,('Tabel Acuan'!$D$4:$D$39='Data Gaji Pegawai'!D395)*('Tabel Acuan'!$E$4:$E$39='Data Gaji Pegawai'!E395),0))</f>
        <v>6000000</v>
      </c>
      <c r="H395">
        <f>I395/100000</f>
        <v>4</v>
      </c>
      <c r="I395" s="14">
        <v>400000</v>
      </c>
      <c r="J395">
        <f ca="1">INT((TODAY()-F395)/30.417)</f>
        <v>17</v>
      </c>
      <c r="K395" s="13">
        <f t="shared" ca="1" si="6"/>
        <v>0</v>
      </c>
      <c r="L395" s="8">
        <f>G395*3.7%</f>
        <v>222000.00000000003</v>
      </c>
      <c r="M395" s="8">
        <f>G395*2%</f>
        <v>120000</v>
      </c>
      <c r="N395" s="8">
        <f>G395*4%</f>
        <v>240000</v>
      </c>
      <c r="O395" s="8">
        <f>G395*1%</f>
        <v>60000</v>
      </c>
      <c r="P395">
        <v>6</v>
      </c>
      <c r="Q395" s="13">
        <f>P395*200000</f>
        <v>1200000</v>
      </c>
      <c r="R395" s="8">
        <v>2000000</v>
      </c>
      <c r="S395" s="9">
        <f>8%*G395</f>
        <v>480000</v>
      </c>
    </row>
    <row r="396" spans="1:19" x14ac:dyDescent="0.3">
      <c r="A396">
        <v>394</v>
      </c>
      <c r="B396" s="10" t="s">
        <v>821</v>
      </c>
      <c r="C396" s="10" t="s">
        <v>822</v>
      </c>
      <c r="D396" s="11" t="str">
        <f>VLOOKUP(MID(B396,6,1),'Tabel Acuan'!$A$10:$B$17,2,0)</f>
        <v>Human Resources (HR)</v>
      </c>
      <c r="E396" t="str">
        <f>VLOOKUP(MID(B396,8,2),'Tabel Acuan'!$A$1:$B$6,2,0)</f>
        <v>Assistant Manager</v>
      </c>
      <c r="F396" s="12">
        <v>42757</v>
      </c>
      <c r="G396" s="8" cm="1">
        <f t="array" ref="G396">INDEX('Tabel Acuan'!$F$4:$F$39,
MATCH(1,('Tabel Acuan'!$D$4:$D$39='Data Gaji Pegawai'!D396)*('Tabel Acuan'!$E$4:$E$39='Data Gaji Pegawai'!E396),0))</f>
        <v>9000000</v>
      </c>
      <c r="H396">
        <f>I396/100000</f>
        <v>60</v>
      </c>
      <c r="I396" s="14">
        <v>6000000</v>
      </c>
      <c r="J396">
        <f ca="1">INT((TODAY()-F396)/30.417)</f>
        <v>113</v>
      </c>
      <c r="K396" s="13">
        <f t="shared" ca="1" si="6"/>
        <v>0</v>
      </c>
      <c r="L396" s="8">
        <f>G396*3.7%</f>
        <v>333000.00000000006</v>
      </c>
      <c r="M396" s="8">
        <f>G396*2%</f>
        <v>180000</v>
      </c>
      <c r="N396" s="8">
        <f>G396*4%</f>
        <v>360000</v>
      </c>
      <c r="O396" s="8">
        <f>G396*1%</f>
        <v>90000</v>
      </c>
      <c r="P396">
        <v>14</v>
      </c>
      <c r="Q396" s="13">
        <f>P396*200000</f>
        <v>2800000</v>
      </c>
      <c r="R396" s="8">
        <v>0</v>
      </c>
      <c r="S396" s="9">
        <f>8%*G396</f>
        <v>720000</v>
      </c>
    </row>
    <row r="397" spans="1:19" x14ac:dyDescent="0.3">
      <c r="A397">
        <v>395</v>
      </c>
      <c r="B397" s="10" t="s">
        <v>823</v>
      </c>
      <c r="C397" s="10" t="s">
        <v>824</v>
      </c>
      <c r="D397" s="11" t="str">
        <f>VLOOKUP(MID(B397,6,1),'Tabel Acuan'!$A$10:$B$17,2,0)</f>
        <v>Information Technology (IT)</v>
      </c>
      <c r="E397" t="str">
        <f>VLOOKUP(MID(B397,8,2),'Tabel Acuan'!$A$1:$B$6,2,0)</f>
        <v>Supervisor</v>
      </c>
      <c r="F397" s="12">
        <v>45307</v>
      </c>
      <c r="G397" s="8" cm="1">
        <f t="array" ref="G397">INDEX('Tabel Acuan'!$F$4:$F$39,
MATCH(1,('Tabel Acuan'!$D$4:$D$39='Data Gaji Pegawai'!D397)*('Tabel Acuan'!$E$4:$E$39='Data Gaji Pegawai'!E397),0))</f>
        <v>9000000</v>
      </c>
      <c r="H397">
        <f>I397/100000</f>
        <v>24</v>
      </c>
      <c r="I397" s="14">
        <v>2400000</v>
      </c>
      <c r="J397">
        <f ca="1">INT((TODAY()-F397)/30.417)</f>
        <v>29</v>
      </c>
      <c r="K397" s="13">
        <f t="shared" ca="1" si="6"/>
        <v>0</v>
      </c>
      <c r="L397" s="8">
        <f>G397*3.7%</f>
        <v>333000.00000000006</v>
      </c>
      <c r="M397" s="8">
        <f>G397*2%</f>
        <v>180000</v>
      </c>
      <c r="N397" s="8">
        <f>G397*4%</f>
        <v>360000</v>
      </c>
      <c r="O397" s="8">
        <f>G397*1%</f>
        <v>90000</v>
      </c>
      <c r="P397">
        <v>13</v>
      </c>
      <c r="Q397" s="13">
        <f>P397*200000</f>
        <v>2600000</v>
      </c>
      <c r="R397" s="8">
        <v>0</v>
      </c>
      <c r="S397" s="9">
        <f>8%*G397</f>
        <v>720000</v>
      </c>
    </row>
    <row r="398" spans="1:19" x14ac:dyDescent="0.3">
      <c r="A398">
        <v>396</v>
      </c>
      <c r="B398" s="10" t="s">
        <v>825</v>
      </c>
      <c r="C398" s="10" t="s">
        <v>826</v>
      </c>
      <c r="D398" s="11" t="str">
        <f>VLOOKUP(MID(B398,6,1),'Tabel Acuan'!$A$10:$B$17,2,0)</f>
        <v>Finance</v>
      </c>
      <c r="E398" t="str">
        <f>VLOOKUP(MID(B398,8,2),'Tabel Acuan'!$A$1:$B$6,2,0)</f>
        <v>Staff</v>
      </c>
      <c r="F398" s="12">
        <v>43118</v>
      </c>
      <c r="G398" s="8" cm="1">
        <f t="array" ref="G398">INDEX('Tabel Acuan'!$F$4:$F$39,
MATCH(1,('Tabel Acuan'!$D$4:$D$39='Data Gaji Pegawai'!D398)*('Tabel Acuan'!$E$4:$E$39='Data Gaji Pegawai'!E398),0))</f>
        <v>5500000</v>
      </c>
      <c r="H398">
        <f>I398/100000</f>
        <v>39</v>
      </c>
      <c r="I398" s="14">
        <v>3900000</v>
      </c>
      <c r="J398">
        <f ca="1">INT((TODAY()-F398)/30.417)</f>
        <v>101</v>
      </c>
      <c r="K398" s="13">
        <f t="shared" ca="1" si="6"/>
        <v>0</v>
      </c>
      <c r="L398" s="8">
        <f>G398*3.7%</f>
        <v>203500.00000000003</v>
      </c>
      <c r="M398" s="8">
        <f>G398*2%</f>
        <v>110000</v>
      </c>
      <c r="N398" s="8">
        <f>G398*4%</f>
        <v>220000</v>
      </c>
      <c r="O398" s="8">
        <f>G398*1%</f>
        <v>55000</v>
      </c>
      <c r="P398">
        <v>7</v>
      </c>
      <c r="Q398" s="13">
        <f>P398*200000</f>
        <v>1400000</v>
      </c>
      <c r="R398" s="8">
        <v>2000000</v>
      </c>
      <c r="S398" s="9">
        <f>8%*G398</f>
        <v>440000</v>
      </c>
    </row>
    <row r="399" spans="1:19" x14ac:dyDescent="0.3">
      <c r="A399">
        <v>397</v>
      </c>
      <c r="B399" s="10" t="s">
        <v>827</v>
      </c>
      <c r="C399" s="10" t="s">
        <v>828</v>
      </c>
      <c r="D399" s="11" t="str">
        <f>VLOOKUP(MID(B399,6,1),'Tabel Acuan'!$A$10:$B$17,2,0)</f>
        <v>Marketing</v>
      </c>
      <c r="E399" t="str">
        <f>VLOOKUP(MID(B399,8,2),'Tabel Acuan'!$A$1:$B$6,2,0)</f>
        <v>Senior Staff</v>
      </c>
      <c r="F399" s="12">
        <v>44393</v>
      </c>
      <c r="G399" s="8" cm="1">
        <f t="array" ref="G399">INDEX('Tabel Acuan'!$F$4:$F$39,
MATCH(1,('Tabel Acuan'!$D$4:$D$39='Data Gaji Pegawai'!D399)*('Tabel Acuan'!$E$4:$E$39='Data Gaji Pegawai'!E399),0))</f>
        <v>6400000</v>
      </c>
      <c r="H399">
        <f>I399/100000</f>
        <v>8</v>
      </c>
      <c r="I399" s="14">
        <v>800000</v>
      </c>
      <c r="J399">
        <f ca="1">INT((TODAY()-F399)/30.417)</f>
        <v>59</v>
      </c>
      <c r="K399" s="13">
        <f t="shared" ca="1" si="6"/>
        <v>0</v>
      </c>
      <c r="L399" s="8">
        <f>G399*3.7%</f>
        <v>236800.00000000003</v>
      </c>
      <c r="M399" s="8">
        <f>G399*2%</f>
        <v>128000</v>
      </c>
      <c r="N399" s="8">
        <f>G399*4%</f>
        <v>256000</v>
      </c>
      <c r="O399" s="8">
        <f>G399*1%</f>
        <v>64000</v>
      </c>
      <c r="P399">
        <v>13</v>
      </c>
      <c r="Q399" s="13">
        <f>P399*200000</f>
        <v>2600000</v>
      </c>
      <c r="R399" s="8">
        <v>0</v>
      </c>
      <c r="S399" s="9">
        <f>8%*G399</f>
        <v>512000</v>
      </c>
    </row>
    <row r="400" spans="1:19" x14ac:dyDescent="0.3">
      <c r="A400">
        <v>398</v>
      </c>
      <c r="B400" s="10" t="s">
        <v>829</v>
      </c>
      <c r="C400" s="10" t="s">
        <v>830</v>
      </c>
      <c r="D400" s="11" t="str">
        <f>VLOOKUP(MID(B400,6,1),'Tabel Acuan'!$A$10:$B$17,2,0)</f>
        <v>Finance</v>
      </c>
      <c r="E400" t="str">
        <f>VLOOKUP(MID(B400,8,2),'Tabel Acuan'!$A$1:$B$6,2,0)</f>
        <v>Senior Staff</v>
      </c>
      <c r="F400" s="12">
        <v>45122</v>
      </c>
      <c r="G400" s="8" cm="1">
        <f t="array" ref="G400">INDEX('Tabel Acuan'!$F$4:$F$39,
MATCH(1,('Tabel Acuan'!$D$4:$D$39='Data Gaji Pegawai'!D400)*('Tabel Acuan'!$E$4:$E$39='Data Gaji Pegawai'!E400),0))</f>
        <v>6600000</v>
      </c>
      <c r="H400">
        <f>I400/100000</f>
        <v>50</v>
      </c>
      <c r="I400" s="14">
        <v>5000000</v>
      </c>
      <c r="J400">
        <f ca="1">INT((TODAY()-F400)/30.417)</f>
        <v>35</v>
      </c>
      <c r="K400" s="13">
        <f t="shared" ca="1" si="6"/>
        <v>0</v>
      </c>
      <c r="L400" s="8">
        <f>G400*3.7%</f>
        <v>244200.00000000003</v>
      </c>
      <c r="M400" s="8">
        <f>G400*2%</f>
        <v>132000</v>
      </c>
      <c r="N400" s="8">
        <f>G400*4%</f>
        <v>264000</v>
      </c>
      <c r="O400" s="8">
        <f>G400*1%</f>
        <v>66000</v>
      </c>
      <c r="P400">
        <v>11</v>
      </c>
      <c r="Q400" s="13">
        <f>P400*200000</f>
        <v>2200000</v>
      </c>
      <c r="R400" s="8">
        <v>5000000</v>
      </c>
      <c r="S400" s="9">
        <f>8%*G400</f>
        <v>528000</v>
      </c>
    </row>
    <row r="401" spans="1:19" x14ac:dyDescent="0.3">
      <c r="A401">
        <v>399</v>
      </c>
      <c r="B401" s="10" t="s">
        <v>831</v>
      </c>
      <c r="C401" s="10" t="s">
        <v>832</v>
      </c>
      <c r="D401" s="11" t="str">
        <f>VLOOKUP(MID(B401,6,1),'Tabel Acuan'!$A$10:$B$17,2,0)</f>
        <v>Logistics</v>
      </c>
      <c r="E401" t="str">
        <f>VLOOKUP(MID(B401,8,2),'Tabel Acuan'!$A$1:$B$6,2,0)</f>
        <v>Assistant Manager</v>
      </c>
      <c r="F401" s="12">
        <v>44760</v>
      </c>
      <c r="G401" s="8" cm="1">
        <f t="array" ref="G401">INDEX('Tabel Acuan'!$F$4:$F$39,
MATCH(1,('Tabel Acuan'!$D$4:$D$39='Data Gaji Pegawai'!D401)*('Tabel Acuan'!$E$4:$E$39='Data Gaji Pegawai'!E401),0))</f>
        <v>9300000</v>
      </c>
      <c r="H401">
        <f>I401/100000</f>
        <v>17</v>
      </c>
      <c r="I401" s="14">
        <v>1700000</v>
      </c>
      <c r="J401">
        <f ca="1">INT((TODAY()-F401)/30.417)</f>
        <v>47</v>
      </c>
      <c r="K401" s="13">
        <f t="shared" ca="1" si="6"/>
        <v>0</v>
      </c>
      <c r="L401" s="8">
        <f>G401*3.7%</f>
        <v>344100.00000000006</v>
      </c>
      <c r="M401" s="8">
        <f>G401*2%</f>
        <v>186000</v>
      </c>
      <c r="N401" s="8">
        <f>G401*4%</f>
        <v>372000</v>
      </c>
      <c r="O401" s="8">
        <f>G401*1%</f>
        <v>93000</v>
      </c>
      <c r="P401">
        <v>5</v>
      </c>
      <c r="Q401" s="13">
        <f>P401*200000</f>
        <v>1000000</v>
      </c>
      <c r="R401" s="8">
        <v>0</v>
      </c>
      <c r="S401" s="9">
        <f>8%*G401</f>
        <v>744000</v>
      </c>
    </row>
    <row r="402" spans="1:19" x14ac:dyDescent="0.3">
      <c r="A402">
        <v>400</v>
      </c>
      <c r="B402" s="10" t="s">
        <v>833</v>
      </c>
      <c r="C402" s="10" t="s">
        <v>834</v>
      </c>
      <c r="D402" s="11" t="str">
        <f>VLOOKUP(MID(B402,6,1),'Tabel Acuan'!$A$10:$B$17,2,0)</f>
        <v>Finance</v>
      </c>
      <c r="E402" t="str">
        <f>VLOOKUP(MID(B402,8,2),'Tabel Acuan'!$A$1:$B$6,2,0)</f>
        <v>Staff</v>
      </c>
      <c r="F402" s="12">
        <v>45321</v>
      </c>
      <c r="G402" s="8" cm="1">
        <f t="array" ref="G402">INDEX('Tabel Acuan'!$F$4:$F$39,
MATCH(1,('Tabel Acuan'!$D$4:$D$39='Data Gaji Pegawai'!D402)*('Tabel Acuan'!$E$4:$E$39='Data Gaji Pegawai'!E402),0))</f>
        <v>5500000</v>
      </c>
      <c r="H402">
        <f>I402/100000</f>
        <v>51</v>
      </c>
      <c r="I402" s="14">
        <v>5100000</v>
      </c>
      <c r="J402">
        <f ca="1">INT((TODAY()-F402)/30.417)</f>
        <v>29</v>
      </c>
      <c r="K402" s="13">
        <f t="shared" ca="1" si="6"/>
        <v>0</v>
      </c>
      <c r="L402" s="8">
        <f>G402*3.7%</f>
        <v>203500.00000000003</v>
      </c>
      <c r="M402" s="8">
        <f>G402*2%</f>
        <v>110000</v>
      </c>
      <c r="N402" s="8">
        <f>G402*4%</f>
        <v>220000</v>
      </c>
      <c r="O402" s="8">
        <f>G402*1%</f>
        <v>55000</v>
      </c>
      <c r="P402">
        <v>15</v>
      </c>
      <c r="Q402" s="13">
        <f>P402*200000</f>
        <v>3000000</v>
      </c>
      <c r="R402" s="8">
        <v>5000000</v>
      </c>
      <c r="S402" s="9">
        <f>8%*G402</f>
        <v>440000</v>
      </c>
    </row>
    <row r="403" spans="1:19" x14ac:dyDescent="0.3">
      <c r="A403">
        <v>401</v>
      </c>
      <c r="B403" s="10" t="s">
        <v>835</v>
      </c>
      <c r="C403" s="10" t="s">
        <v>836</v>
      </c>
      <c r="D403" s="11" t="str">
        <f>VLOOKUP(MID(B403,6,1),'Tabel Acuan'!$A$10:$B$17,2,0)</f>
        <v>Finance</v>
      </c>
      <c r="E403" t="str">
        <f>VLOOKUP(MID(B403,8,2),'Tabel Acuan'!$A$1:$B$6,2,0)</f>
        <v>Manager</v>
      </c>
      <c r="F403" s="12">
        <v>45628</v>
      </c>
      <c r="G403" s="8" cm="1">
        <f t="array" ref="G403">INDEX('Tabel Acuan'!$F$4:$F$39,
MATCH(1,('Tabel Acuan'!$D$4:$D$39='Data Gaji Pegawai'!D403)*('Tabel Acuan'!$E$4:$E$39='Data Gaji Pegawai'!E403),0))</f>
        <v>13500000</v>
      </c>
      <c r="H403">
        <f>I403/100000</f>
        <v>15</v>
      </c>
      <c r="I403" s="14">
        <v>1500000</v>
      </c>
      <c r="J403">
        <f ca="1">INT((TODAY()-F403)/30.417)</f>
        <v>18</v>
      </c>
      <c r="K403" s="13">
        <f t="shared" ca="1" si="6"/>
        <v>0</v>
      </c>
      <c r="L403" s="8">
        <f>G403*3.7%</f>
        <v>499500.00000000006</v>
      </c>
      <c r="M403" s="8">
        <f>G403*2%</f>
        <v>270000</v>
      </c>
      <c r="N403" s="8">
        <f>G403*4%</f>
        <v>540000</v>
      </c>
      <c r="O403" s="8">
        <f>G403*1%</f>
        <v>135000</v>
      </c>
      <c r="P403">
        <v>8</v>
      </c>
      <c r="Q403" s="13">
        <f>P403*200000</f>
        <v>1600000</v>
      </c>
      <c r="R403" s="8">
        <v>5000000</v>
      </c>
      <c r="S403" s="9">
        <f>8%*G403</f>
        <v>1080000</v>
      </c>
    </row>
    <row r="404" spans="1:19" x14ac:dyDescent="0.3">
      <c r="A404">
        <v>402</v>
      </c>
      <c r="B404" s="10" t="s">
        <v>837</v>
      </c>
      <c r="C404" s="10" t="s">
        <v>838</v>
      </c>
      <c r="D404" s="11" t="str">
        <f>VLOOKUP(MID(B404,6,1),'Tabel Acuan'!$A$10:$B$17,2,0)</f>
        <v>Operations</v>
      </c>
      <c r="E404" t="str">
        <f>VLOOKUP(MID(B404,8,2),'Tabel Acuan'!$A$1:$B$6,2,0)</f>
        <v>Manager</v>
      </c>
      <c r="F404" s="12">
        <v>42203</v>
      </c>
      <c r="G404" s="8" cm="1">
        <f t="array" ref="G404">INDEX('Tabel Acuan'!$F$4:$F$39,
MATCH(1,('Tabel Acuan'!$D$4:$D$39='Data Gaji Pegawai'!D404)*('Tabel Acuan'!$E$4:$E$39='Data Gaji Pegawai'!E404),0))</f>
        <v>13000000</v>
      </c>
      <c r="H404">
        <f>I404/100000</f>
        <v>22</v>
      </c>
      <c r="I404" s="14">
        <v>2200000</v>
      </c>
      <c r="J404">
        <f ca="1">INT((TODAY()-F404)/30.417)</f>
        <v>131</v>
      </c>
      <c r="K404" s="13">
        <f t="shared" ca="1" si="6"/>
        <v>0</v>
      </c>
      <c r="L404" s="8">
        <f>G404*3.7%</f>
        <v>481000.00000000006</v>
      </c>
      <c r="M404" s="8">
        <f>G404*2%</f>
        <v>260000</v>
      </c>
      <c r="N404" s="8">
        <f>G404*4%</f>
        <v>520000</v>
      </c>
      <c r="O404" s="8">
        <f>G404*1%</f>
        <v>130000</v>
      </c>
      <c r="P404">
        <v>5</v>
      </c>
      <c r="Q404" s="13">
        <f>P404*200000</f>
        <v>1000000</v>
      </c>
      <c r="R404" s="8">
        <v>0</v>
      </c>
      <c r="S404" s="9">
        <f>8%*G404</f>
        <v>1040000</v>
      </c>
    </row>
    <row r="405" spans="1:19" x14ac:dyDescent="0.3">
      <c r="A405">
        <v>403</v>
      </c>
      <c r="B405" s="10" t="s">
        <v>839</v>
      </c>
      <c r="C405" s="10" t="s">
        <v>840</v>
      </c>
      <c r="D405" s="11" t="str">
        <f>VLOOKUP(MID(B405,6,1),'Tabel Acuan'!$A$10:$B$17,2,0)</f>
        <v>Logistics</v>
      </c>
      <c r="E405" t="str">
        <f>VLOOKUP(MID(B405,8,2),'Tabel Acuan'!$A$1:$B$6,2,0)</f>
        <v>Supervisor</v>
      </c>
      <c r="F405" s="12">
        <v>45594</v>
      </c>
      <c r="G405" s="8" cm="1">
        <f t="array" ref="G405">INDEX('Tabel Acuan'!$F$4:$F$39,
MATCH(1,('Tabel Acuan'!$D$4:$D$39='Data Gaji Pegawai'!D405)*('Tabel Acuan'!$E$4:$E$39='Data Gaji Pegawai'!E405),0))</f>
        <v>7500000</v>
      </c>
      <c r="H405">
        <f>I405/100000</f>
        <v>1</v>
      </c>
      <c r="I405" s="14">
        <v>100000</v>
      </c>
      <c r="J405">
        <f ca="1">INT((TODAY()-F405)/30.417)</f>
        <v>20</v>
      </c>
      <c r="K405" s="13">
        <f t="shared" ca="1" si="6"/>
        <v>0</v>
      </c>
      <c r="L405" s="8">
        <f>G405*3.7%</f>
        <v>277500.00000000006</v>
      </c>
      <c r="M405" s="8">
        <f>G405*2%</f>
        <v>150000</v>
      </c>
      <c r="N405" s="8">
        <f>G405*4%</f>
        <v>300000</v>
      </c>
      <c r="O405" s="8">
        <f>G405*1%</f>
        <v>75000</v>
      </c>
      <c r="P405">
        <v>11</v>
      </c>
      <c r="Q405" s="13">
        <f>P405*200000</f>
        <v>2200000</v>
      </c>
      <c r="R405" s="8">
        <v>3000000</v>
      </c>
      <c r="S405" s="9">
        <f>8%*G405</f>
        <v>600000</v>
      </c>
    </row>
    <row r="406" spans="1:19" x14ac:dyDescent="0.3">
      <c r="A406">
        <v>404</v>
      </c>
      <c r="B406" s="10" t="s">
        <v>841</v>
      </c>
      <c r="C406" s="10" t="s">
        <v>842</v>
      </c>
      <c r="D406" s="11" t="str">
        <f>VLOOKUP(MID(B406,6,1),'Tabel Acuan'!$A$10:$B$17,2,0)</f>
        <v>Marketing</v>
      </c>
      <c r="E406" t="str">
        <f>VLOOKUP(MID(B406,8,2),'Tabel Acuan'!$A$1:$B$6,2,0)</f>
        <v>Manager</v>
      </c>
      <c r="F406" s="12">
        <v>42894</v>
      </c>
      <c r="G406" s="8" cm="1">
        <f t="array" ref="G406">INDEX('Tabel Acuan'!$F$4:$F$39,
MATCH(1,('Tabel Acuan'!$D$4:$D$39='Data Gaji Pegawai'!D406)*('Tabel Acuan'!$E$4:$E$39='Data Gaji Pegawai'!E406),0))</f>
        <v>13000000</v>
      </c>
      <c r="H406">
        <f>I406/100000</f>
        <v>11</v>
      </c>
      <c r="I406" s="14">
        <v>1100000</v>
      </c>
      <c r="J406">
        <f ca="1">INT((TODAY()-F406)/30.417)</f>
        <v>108</v>
      </c>
      <c r="K406" s="13">
        <f t="shared" ca="1" si="6"/>
        <v>0</v>
      </c>
      <c r="L406" s="8">
        <f>G406*3.7%</f>
        <v>481000.00000000006</v>
      </c>
      <c r="M406" s="8">
        <f>G406*2%</f>
        <v>260000</v>
      </c>
      <c r="N406" s="8">
        <f>G406*4%</f>
        <v>520000</v>
      </c>
      <c r="O406" s="8">
        <f>G406*1%</f>
        <v>130000</v>
      </c>
      <c r="P406">
        <v>15</v>
      </c>
      <c r="Q406" s="13">
        <f>P406*200000</f>
        <v>3000000</v>
      </c>
      <c r="R406" s="8">
        <v>0</v>
      </c>
      <c r="S406" s="9">
        <f>8%*G406</f>
        <v>1040000</v>
      </c>
    </row>
    <row r="407" spans="1:19" x14ac:dyDescent="0.3">
      <c r="A407">
        <v>405</v>
      </c>
      <c r="B407" s="10" t="s">
        <v>843</v>
      </c>
      <c r="C407" s="10" t="s">
        <v>844</v>
      </c>
      <c r="D407" s="11" t="str">
        <f>VLOOKUP(MID(B407,6,1),'Tabel Acuan'!$A$10:$B$17,2,0)</f>
        <v>Finance</v>
      </c>
      <c r="E407" t="str">
        <f>VLOOKUP(MID(B407,8,2),'Tabel Acuan'!$A$1:$B$6,2,0)</f>
        <v>Senior Staff</v>
      </c>
      <c r="F407" s="12">
        <v>42249</v>
      </c>
      <c r="G407" s="8" cm="1">
        <f t="array" ref="G407">INDEX('Tabel Acuan'!$F$4:$F$39,
MATCH(1,('Tabel Acuan'!$D$4:$D$39='Data Gaji Pegawai'!D407)*('Tabel Acuan'!$E$4:$E$39='Data Gaji Pegawai'!E407),0))</f>
        <v>6600000</v>
      </c>
      <c r="H407">
        <f>I407/100000</f>
        <v>0</v>
      </c>
      <c r="I407" s="14">
        <v>0</v>
      </c>
      <c r="J407">
        <f ca="1">INT((TODAY()-F407)/30.417)</f>
        <v>130</v>
      </c>
      <c r="K407" s="13">
        <f t="shared" ca="1" si="6"/>
        <v>0</v>
      </c>
      <c r="L407" s="8">
        <f>G407*3.7%</f>
        <v>244200.00000000003</v>
      </c>
      <c r="M407" s="8">
        <f>G407*2%</f>
        <v>132000</v>
      </c>
      <c r="N407" s="8">
        <f>G407*4%</f>
        <v>264000</v>
      </c>
      <c r="O407" s="8">
        <f>G407*1%</f>
        <v>66000</v>
      </c>
      <c r="P407">
        <v>10</v>
      </c>
      <c r="Q407" s="13">
        <f>P407*200000</f>
        <v>2000000</v>
      </c>
      <c r="R407" s="8">
        <v>750000</v>
      </c>
      <c r="S407" s="9">
        <f>8%*G407</f>
        <v>528000</v>
      </c>
    </row>
    <row r="408" spans="1:19" x14ac:dyDescent="0.3">
      <c r="A408">
        <v>406</v>
      </c>
      <c r="B408" s="10" t="s">
        <v>845</v>
      </c>
      <c r="C408" s="10" t="s">
        <v>846</v>
      </c>
      <c r="D408" s="11" t="str">
        <f>VLOOKUP(MID(B408,6,1),'Tabel Acuan'!$A$10:$B$17,2,0)</f>
        <v>Logistics</v>
      </c>
      <c r="E408" t="str">
        <f>VLOOKUP(MID(B408,8,2),'Tabel Acuan'!$A$1:$B$6,2,0)</f>
        <v>Supervisor</v>
      </c>
      <c r="F408" s="12">
        <v>42747</v>
      </c>
      <c r="G408" s="8" cm="1">
        <f t="array" ref="G408">INDEX('Tabel Acuan'!$F$4:$F$39,
MATCH(1,('Tabel Acuan'!$D$4:$D$39='Data Gaji Pegawai'!D408)*('Tabel Acuan'!$E$4:$E$39='Data Gaji Pegawai'!E408),0))</f>
        <v>7500000</v>
      </c>
      <c r="H408">
        <f>I408/100000</f>
        <v>9</v>
      </c>
      <c r="I408" s="14">
        <v>900000</v>
      </c>
      <c r="J408">
        <f ca="1">INT((TODAY()-F408)/30.417)</f>
        <v>113</v>
      </c>
      <c r="K408" s="13">
        <f t="shared" ca="1" si="6"/>
        <v>0</v>
      </c>
      <c r="L408" s="8">
        <f>G408*3.7%</f>
        <v>277500.00000000006</v>
      </c>
      <c r="M408" s="8">
        <f>G408*2%</f>
        <v>150000</v>
      </c>
      <c r="N408" s="8">
        <f>G408*4%</f>
        <v>300000</v>
      </c>
      <c r="O408" s="8">
        <f>G408*1%</f>
        <v>75000</v>
      </c>
      <c r="P408">
        <v>4</v>
      </c>
      <c r="Q408" s="13">
        <f>P408*200000</f>
        <v>800000</v>
      </c>
      <c r="R408" s="8">
        <v>2500000</v>
      </c>
      <c r="S408" s="9">
        <f>8%*G408</f>
        <v>600000</v>
      </c>
    </row>
    <row r="409" spans="1:19" x14ac:dyDescent="0.3">
      <c r="A409">
        <v>407</v>
      </c>
      <c r="B409" s="10" t="s">
        <v>847</v>
      </c>
      <c r="C409" s="10" t="s">
        <v>848</v>
      </c>
      <c r="D409" s="11" t="str">
        <f>VLOOKUP(MID(B409,6,1),'Tabel Acuan'!$A$10:$B$17,2,0)</f>
        <v>Human Resources (HR)</v>
      </c>
      <c r="E409" t="str">
        <f>VLOOKUP(MID(B409,8,2),'Tabel Acuan'!$A$1:$B$6,2,0)</f>
        <v>Staff</v>
      </c>
      <c r="F409" s="12">
        <v>44131</v>
      </c>
      <c r="G409" s="8" cm="1">
        <f t="array" ref="G409">INDEX('Tabel Acuan'!$F$4:$F$39,
MATCH(1,('Tabel Acuan'!$D$4:$D$39='Data Gaji Pegawai'!D409)*('Tabel Acuan'!$E$4:$E$39='Data Gaji Pegawai'!E409),0))</f>
        <v>5000000</v>
      </c>
      <c r="H409">
        <f>I409/100000</f>
        <v>6</v>
      </c>
      <c r="I409" s="14">
        <v>600000</v>
      </c>
      <c r="J409">
        <f ca="1">INT((TODAY()-F409)/30.417)</f>
        <v>68</v>
      </c>
      <c r="K409" s="13">
        <f t="shared" ca="1" si="6"/>
        <v>0</v>
      </c>
      <c r="L409" s="8">
        <f>G409*3.7%</f>
        <v>185000.00000000003</v>
      </c>
      <c r="M409" s="8">
        <f>G409*2%</f>
        <v>100000</v>
      </c>
      <c r="N409" s="8">
        <f>G409*4%</f>
        <v>200000</v>
      </c>
      <c r="O409" s="8">
        <f>G409*1%</f>
        <v>50000</v>
      </c>
      <c r="P409">
        <v>10</v>
      </c>
      <c r="Q409" s="13">
        <f>P409*200000</f>
        <v>2000000</v>
      </c>
      <c r="R409" s="8">
        <v>0</v>
      </c>
      <c r="S409" s="9">
        <f>8%*G409</f>
        <v>400000</v>
      </c>
    </row>
    <row r="410" spans="1:19" x14ac:dyDescent="0.3">
      <c r="A410">
        <v>408</v>
      </c>
      <c r="B410" s="10" t="s">
        <v>849</v>
      </c>
      <c r="C410" s="10" t="s">
        <v>850</v>
      </c>
      <c r="D410" s="11" t="str">
        <f>VLOOKUP(MID(B410,6,1),'Tabel Acuan'!$A$10:$B$17,2,0)</f>
        <v>Finance</v>
      </c>
      <c r="E410" t="str">
        <f>VLOOKUP(MID(B410,8,2),'Tabel Acuan'!$A$1:$B$6,2,0)</f>
        <v>Supervisor</v>
      </c>
      <c r="F410" s="12">
        <v>42985</v>
      </c>
      <c r="G410" s="8" cm="1">
        <f t="array" ref="G410">INDEX('Tabel Acuan'!$F$4:$F$39,
MATCH(1,('Tabel Acuan'!$D$4:$D$39='Data Gaji Pegawai'!D410)*('Tabel Acuan'!$E$4:$E$39='Data Gaji Pegawai'!E410),0))</f>
        <v>8000000</v>
      </c>
      <c r="H410">
        <f>I410/100000</f>
        <v>41</v>
      </c>
      <c r="I410" s="14">
        <v>4100000</v>
      </c>
      <c r="J410">
        <f ca="1">INT((TODAY()-F410)/30.417)</f>
        <v>105</v>
      </c>
      <c r="K410" s="13">
        <f t="shared" ca="1" si="6"/>
        <v>0</v>
      </c>
      <c r="L410" s="8">
        <f>G410*3.7%</f>
        <v>296000.00000000006</v>
      </c>
      <c r="M410" s="8">
        <f>G410*2%</f>
        <v>160000</v>
      </c>
      <c r="N410" s="8">
        <f>G410*4%</f>
        <v>320000</v>
      </c>
      <c r="O410" s="8">
        <f>G410*1%</f>
        <v>80000</v>
      </c>
      <c r="P410">
        <v>10</v>
      </c>
      <c r="Q410" s="13">
        <f>P410*200000</f>
        <v>2000000</v>
      </c>
      <c r="R410" s="8">
        <v>0</v>
      </c>
      <c r="S410" s="9">
        <f>8%*G410</f>
        <v>640000</v>
      </c>
    </row>
    <row r="411" spans="1:19" x14ac:dyDescent="0.3">
      <c r="A411">
        <v>409</v>
      </c>
      <c r="B411" s="10" t="s">
        <v>851</v>
      </c>
      <c r="C411" s="10" t="s">
        <v>852</v>
      </c>
      <c r="D411" s="11" t="str">
        <f>VLOOKUP(MID(B411,6,1),'Tabel Acuan'!$A$10:$B$17,2,0)</f>
        <v>Sales</v>
      </c>
      <c r="E411" t="str">
        <f>VLOOKUP(MID(B411,8,2),'Tabel Acuan'!$A$1:$B$6,2,0)</f>
        <v>Assistant Manager</v>
      </c>
      <c r="F411" s="12">
        <v>45041</v>
      </c>
      <c r="G411" s="8" cm="1">
        <f t="array" ref="G411">INDEX('Tabel Acuan'!$F$4:$F$39,
MATCH(1,('Tabel Acuan'!$D$4:$D$39='Data Gaji Pegawai'!D411)*('Tabel Acuan'!$E$4:$E$39='Data Gaji Pegawai'!E411),0))</f>
        <v>9500000</v>
      </c>
      <c r="H411">
        <f>I411/100000</f>
        <v>42</v>
      </c>
      <c r="I411" s="14">
        <v>4200000</v>
      </c>
      <c r="J411">
        <f ca="1">INT((TODAY()-F411)/30.417)</f>
        <v>38</v>
      </c>
      <c r="K411" s="13">
        <f t="shared" ca="1" si="6"/>
        <v>0</v>
      </c>
      <c r="L411" s="8">
        <f>G411*3.7%</f>
        <v>351500.00000000006</v>
      </c>
      <c r="M411" s="8">
        <f>G411*2%</f>
        <v>190000</v>
      </c>
      <c r="N411" s="8">
        <f>G411*4%</f>
        <v>380000</v>
      </c>
      <c r="O411" s="8">
        <f>G411*1%</f>
        <v>95000</v>
      </c>
      <c r="P411">
        <v>5</v>
      </c>
      <c r="Q411" s="13">
        <f>P411*200000</f>
        <v>1000000</v>
      </c>
      <c r="R411" s="8">
        <v>4000000</v>
      </c>
      <c r="S411" s="9">
        <f>8%*G411</f>
        <v>760000</v>
      </c>
    </row>
    <row r="412" spans="1:19" x14ac:dyDescent="0.3">
      <c r="A412">
        <v>410</v>
      </c>
      <c r="B412" s="10" t="s">
        <v>853</v>
      </c>
      <c r="C412" s="10" t="s">
        <v>854</v>
      </c>
      <c r="D412" s="11" t="str">
        <f>VLOOKUP(MID(B412,6,1),'Tabel Acuan'!$A$10:$B$17,2,0)</f>
        <v>Finance</v>
      </c>
      <c r="E412" t="str">
        <f>VLOOKUP(MID(B412,8,2),'Tabel Acuan'!$A$1:$B$6,2,0)</f>
        <v>Staff</v>
      </c>
      <c r="F412" s="12">
        <v>43759</v>
      </c>
      <c r="G412" s="8" cm="1">
        <f t="array" ref="G412">INDEX('Tabel Acuan'!$F$4:$F$39,
MATCH(1,('Tabel Acuan'!$D$4:$D$39='Data Gaji Pegawai'!D412)*('Tabel Acuan'!$E$4:$E$39='Data Gaji Pegawai'!E412),0))</f>
        <v>5500000</v>
      </c>
      <c r="H412">
        <f>I412/100000</f>
        <v>25</v>
      </c>
      <c r="I412" s="14">
        <v>2500000</v>
      </c>
      <c r="J412">
        <f ca="1">INT((TODAY()-F412)/30.417)</f>
        <v>80</v>
      </c>
      <c r="K412" s="13">
        <f t="shared" ca="1" si="6"/>
        <v>0</v>
      </c>
      <c r="L412" s="8">
        <f>G412*3.7%</f>
        <v>203500.00000000003</v>
      </c>
      <c r="M412" s="8">
        <f>G412*2%</f>
        <v>110000</v>
      </c>
      <c r="N412" s="8">
        <f>G412*4%</f>
        <v>220000</v>
      </c>
      <c r="O412" s="8">
        <f>G412*1%</f>
        <v>55000</v>
      </c>
      <c r="P412">
        <v>1</v>
      </c>
      <c r="Q412" s="13">
        <f>P412*200000</f>
        <v>200000</v>
      </c>
      <c r="R412" s="8">
        <v>0</v>
      </c>
      <c r="S412" s="9">
        <f>8%*G412</f>
        <v>440000</v>
      </c>
    </row>
    <row r="413" spans="1:19" x14ac:dyDescent="0.3">
      <c r="A413">
        <v>411</v>
      </c>
      <c r="B413" s="10" t="s">
        <v>855</v>
      </c>
      <c r="C413" s="10" t="s">
        <v>297</v>
      </c>
      <c r="D413" s="11" t="str">
        <f>VLOOKUP(MID(B413,6,1),'Tabel Acuan'!$A$10:$B$17,2,0)</f>
        <v>Operations</v>
      </c>
      <c r="E413" t="str">
        <f>VLOOKUP(MID(B413,8,2),'Tabel Acuan'!$A$1:$B$6,2,0)</f>
        <v>Manager</v>
      </c>
      <c r="F413" s="12">
        <v>44120</v>
      </c>
      <c r="G413" s="8" cm="1">
        <f t="array" ref="G413">INDEX('Tabel Acuan'!$F$4:$F$39,
MATCH(1,('Tabel Acuan'!$D$4:$D$39='Data Gaji Pegawai'!D413)*('Tabel Acuan'!$E$4:$E$39='Data Gaji Pegawai'!E413),0))</f>
        <v>13000000</v>
      </c>
      <c r="H413">
        <f>I413/100000</f>
        <v>6</v>
      </c>
      <c r="I413" s="14">
        <v>600000</v>
      </c>
      <c r="J413">
        <f ca="1">INT((TODAY()-F413)/30.417)</f>
        <v>68</v>
      </c>
      <c r="K413" s="13">
        <f t="shared" ca="1" si="6"/>
        <v>0</v>
      </c>
      <c r="L413" s="8">
        <f>G413*3.7%</f>
        <v>481000.00000000006</v>
      </c>
      <c r="M413" s="8">
        <f>G413*2%</f>
        <v>260000</v>
      </c>
      <c r="N413" s="8">
        <f>G413*4%</f>
        <v>520000</v>
      </c>
      <c r="O413" s="8">
        <f>G413*1%</f>
        <v>130000</v>
      </c>
      <c r="P413">
        <v>15</v>
      </c>
      <c r="Q413" s="13">
        <f>P413*200000</f>
        <v>3000000</v>
      </c>
      <c r="R413" s="8">
        <v>0</v>
      </c>
      <c r="S413" s="9">
        <f>8%*G413</f>
        <v>1040000</v>
      </c>
    </row>
    <row r="414" spans="1:19" x14ac:dyDescent="0.3">
      <c r="A414">
        <v>412</v>
      </c>
      <c r="B414" s="10" t="s">
        <v>856</v>
      </c>
      <c r="C414" s="10" t="s">
        <v>857</v>
      </c>
      <c r="D414" s="11" t="str">
        <f>VLOOKUP(MID(B414,6,1),'Tabel Acuan'!$A$10:$B$17,2,0)</f>
        <v>Finance</v>
      </c>
      <c r="E414" t="str">
        <f>VLOOKUP(MID(B414,8,2),'Tabel Acuan'!$A$1:$B$6,2,0)</f>
        <v>Staff</v>
      </c>
      <c r="F414" s="12">
        <v>42695</v>
      </c>
      <c r="G414" s="8" cm="1">
        <f t="array" ref="G414">INDEX('Tabel Acuan'!$F$4:$F$39,
MATCH(1,('Tabel Acuan'!$D$4:$D$39='Data Gaji Pegawai'!D414)*('Tabel Acuan'!$E$4:$E$39='Data Gaji Pegawai'!E414),0))</f>
        <v>5500000</v>
      </c>
      <c r="H414">
        <f>I414/100000</f>
        <v>56</v>
      </c>
      <c r="I414" s="14">
        <v>5600000</v>
      </c>
      <c r="J414">
        <f ca="1">INT((TODAY()-F414)/30.417)</f>
        <v>115</v>
      </c>
      <c r="K414" s="13">
        <f t="shared" ca="1" si="6"/>
        <v>0</v>
      </c>
      <c r="L414" s="8">
        <f>G414*3.7%</f>
        <v>203500.00000000003</v>
      </c>
      <c r="M414" s="8">
        <f>G414*2%</f>
        <v>110000</v>
      </c>
      <c r="N414" s="8">
        <f>G414*4%</f>
        <v>220000</v>
      </c>
      <c r="O414" s="8">
        <f>G414*1%</f>
        <v>55000</v>
      </c>
      <c r="P414">
        <v>2</v>
      </c>
      <c r="Q414" s="13">
        <f>P414*200000</f>
        <v>400000</v>
      </c>
      <c r="R414" s="8">
        <v>3500000</v>
      </c>
      <c r="S414" s="9">
        <f>8%*G414</f>
        <v>440000</v>
      </c>
    </row>
    <row r="415" spans="1:19" x14ac:dyDescent="0.3">
      <c r="A415">
        <v>413</v>
      </c>
      <c r="B415" s="10" t="s">
        <v>858</v>
      </c>
      <c r="C415" s="10" t="s">
        <v>859</v>
      </c>
      <c r="D415" s="11" t="str">
        <f>VLOOKUP(MID(B415,6,1),'Tabel Acuan'!$A$10:$B$17,2,0)</f>
        <v>Sales</v>
      </c>
      <c r="E415" t="str">
        <f>VLOOKUP(MID(B415,8,2),'Tabel Acuan'!$A$1:$B$6,2,0)</f>
        <v>Assistant Manager</v>
      </c>
      <c r="F415" s="12">
        <v>45793</v>
      </c>
      <c r="G415" s="8" cm="1">
        <f t="array" ref="G415">INDEX('Tabel Acuan'!$F$4:$F$39,
MATCH(1,('Tabel Acuan'!$D$4:$D$39='Data Gaji Pegawai'!D415)*('Tabel Acuan'!$E$4:$E$39='Data Gaji Pegawai'!E415),0))</f>
        <v>9500000</v>
      </c>
      <c r="H415">
        <f>I415/100000</f>
        <v>13</v>
      </c>
      <c r="I415" s="14">
        <v>1300000</v>
      </c>
      <c r="J415">
        <f ca="1">INT((TODAY()-F415)/30.417)</f>
        <v>13</v>
      </c>
      <c r="K415" s="13">
        <f t="shared" ca="1" si="6"/>
        <v>0</v>
      </c>
      <c r="L415" s="8">
        <f>G415*3.7%</f>
        <v>351500.00000000006</v>
      </c>
      <c r="M415" s="8">
        <f>G415*2%</f>
        <v>190000</v>
      </c>
      <c r="N415" s="8">
        <f>G415*4%</f>
        <v>380000</v>
      </c>
      <c r="O415" s="8">
        <f>G415*1%</f>
        <v>95000</v>
      </c>
      <c r="P415">
        <v>7</v>
      </c>
      <c r="Q415" s="13">
        <f>P415*200000</f>
        <v>1400000</v>
      </c>
      <c r="R415" s="8">
        <v>1250000</v>
      </c>
      <c r="S415" s="9">
        <f>8%*G415</f>
        <v>760000</v>
      </c>
    </row>
    <row r="416" spans="1:19" x14ac:dyDescent="0.3">
      <c r="A416">
        <v>414</v>
      </c>
      <c r="B416" s="10" t="s">
        <v>860</v>
      </c>
      <c r="C416" s="10" t="s">
        <v>861</v>
      </c>
      <c r="D416" s="11" t="str">
        <f>VLOOKUP(MID(B416,6,1),'Tabel Acuan'!$A$10:$B$17,2,0)</f>
        <v>Operations</v>
      </c>
      <c r="E416" t="str">
        <f>VLOOKUP(MID(B416,8,2),'Tabel Acuan'!$A$1:$B$6,2,0)</f>
        <v>Staff</v>
      </c>
      <c r="F416" s="12">
        <v>43663</v>
      </c>
      <c r="G416" s="8" cm="1">
        <f t="array" ref="G416">INDEX('Tabel Acuan'!$F$4:$F$39,
MATCH(1,('Tabel Acuan'!$D$4:$D$39='Data Gaji Pegawai'!D416)*('Tabel Acuan'!$E$4:$E$39='Data Gaji Pegawai'!E416),0))</f>
        <v>5200000</v>
      </c>
      <c r="H416">
        <f>I416/100000</f>
        <v>28</v>
      </c>
      <c r="I416" s="14">
        <v>2800000</v>
      </c>
      <c r="J416">
        <f ca="1">INT((TODAY()-F416)/30.417)</f>
        <v>83</v>
      </c>
      <c r="K416" s="13">
        <f t="shared" ca="1" si="6"/>
        <v>0</v>
      </c>
      <c r="L416" s="8">
        <f>G416*3.7%</f>
        <v>192400.00000000003</v>
      </c>
      <c r="M416" s="8">
        <f>G416*2%</f>
        <v>104000</v>
      </c>
      <c r="N416" s="8">
        <f>G416*4%</f>
        <v>208000</v>
      </c>
      <c r="O416" s="8">
        <f>G416*1%</f>
        <v>52000</v>
      </c>
      <c r="P416">
        <v>13</v>
      </c>
      <c r="Q416" s="13">
        <f>P416*200000</f>
        <v>2600000</v>
      </c>
      <c r="R416" s="8">
        <v>1500000</v>
      </c>
      <c r="S416" s="9">
        <f>8%*G416</f>
        <v>416000</v>
      </c>
    </row>
    <row r="417" spans="1:19" x14ac:dyDescent="0.3">
      <c r="A417">
        <v>415</v>
      </c>
      <c r="B417" s="10" t="s">
        <v>862</v>
      </c>
      <c r="C417" s="10" t="s">
        <v>863</v>
      </c>
      <c r="D417" s="11" t="str">
        <f>VLOOKUP(MID(B417,6,1),'Tabel Acuan'!$A$10:$B$17,2,0)</f>
        <v>Information Technology (IT)</v>
      </c>
      <c r="E417" t="str">
        <f>VLOOKUP(MID(B417,8,2),'Tabel Acuan'!$A$1:$B$6,2,0)</f>
        <v>Staff</v>
      </c>
      <c r="F417" s="12">
        <v>44807</v>
      </c>
      <c r="G417" s="8" cm="1">
        <f t="array" ref="G417">INDEX('Tabel Acuan'!$F$4:$F$39,
MATCH(1,('Tabel Acuan'!$D$4:$D$39='Data Gaji Pegawai'!D417)*('Tabel Acuan'!$E$4:$E$39='Data Gaji Pegawai'!E417),0))</f>
        <v>6000000</v>
      </c>
      <c r="H417">
        <f>I417/100000</f>
        <v>50</v>
      </c>
      <c r="I417" s="14">
        <v>5000000</v>
      </c>
      <c r="J417">
        <f ca="1">INT((TODAY()-F417)/30.417)</f>
        <v>45</v>
      </c>
      <c r="K417" s="13">
        <f t="shared" ca="1" si="6"/>
        <v>0</v>
      </c>
      <c r="L417" s="8">
        <f>G417*3.7%</f>
        <v>222000.00000000003</v>
      </c>
      <c r="M417" s="8">
        <f>G417*2%</f>
        <v>120000</v>
      </c>
      <c r="N417" s="8">
        <f>G417*4%</f>
        <v>240000</v>
      </c>
      <c r="O417" s="8">
        <f>G417*1%</f>
        <v>60000</v>
      </c>
      <c r="P417">
        <v>7</v>
      </c>
      <c r="Q417" s="13">
        <f>P417*200000</f>
        <v>1400000</v>
      </c>
      <c r="R417" s="8">
        <v>0</v>
      </c>
      <c r="S417" s="9">
        <f>8%*G417</f>
        <v>480000</v>
      </c>
    </row>
    <row r="418" spans="1:19" x14ac:dyDescent="0.3">
      <c r="A418">
        <v>416</v>
      </c>
      <c r="B418" s="10" t="s">
        <v>864</v>
      </c>
      <c r="C418" s="10" t="s">
        <v>865</v>
      </c>
      <c r="D418" s="11" t="str">
        <f>VLOOKUP(MID(B418,6,1),'Tabel Acuan'!$A$10:$B$17,2,0)</f>
        <v>Operations</v>
      </c>
      <c r="E418" t="str">
        <f>VLOOKUP(MID(B418,8,2),'Tabel Acuan'!$A$1:$B$6,2,0)</f>
        <v>Assistant Manager</v>
      </c>
      <c r="F418" s="12">
        <v>42533</v>
      </c>
      <c r="G418" s="8" cm="1">
        <f t="array" ref="G418">INDEX('Tabel Acuan'!$F$4:$F$39,
MATCH(1,('Tabel Acuan'!$D$4:$D$39='Data Gaji Pegawai'!D418)*('Tabel Acuan'!$E$4:$E$39='Data Gaji Pegawai'!E418),0))</f>
        <v>9700000</v>
      </c>
      <c r="H418">
        <f>I418/100000</f>
        <v>16</v>
      </c>
      <c r="I418" s="14">
        <v>1600000</v>
      </c>
      <c r="J418">
        <f ca="1">INT((TODAY()-F418)/30.417)</f>
        <v>120</v>
      </c>
      <c r="K418" s="13">
        <f t="shared" ca="1" si="6"/>
        <v>0</v>
      </c>
      <c r="L418" s="8">
        <f>G418*3.7%</f>
        <v>358900.00000000006</v>
      </c>
      <c r="M418" s="8">
        <f>G418*2%</f>
        <v>194000</v>
      </c>
      <c r="N418" s="8">
        <f>G418*4%</f>
        <v>388000</v>
      </c>
      <c r="O418" s="8">
        <f>G418*1%</f>
        <v>97000</v>
      </c>
      <c r="P418">
        <v>3</v>
      </c>
      <c r="Q418" s="13">
        <f>P418*200000</f>
        <v>600000</v>
      </c>
      <c r="R418" s="8">
        <v>0</v>
      </c>
      <c r="S418" s="9">
        <f>8%*G418</f>
        <v>776000</v>
      </c>
    </row>
    <row r="419" spans="1:19" x14ac:dyDescent="0.3">
      <c r="A419">
        <v>417</v>
      </c>
      <c r="B419" s="10" t="s">
        <v>866</v>
      </c>
      <c r="C419" s="10" t="s">
        <v>867</v>
      </c>
      <c r="D419" s="11" t="str">
        <f>VLOOKUP(MID(B419,6,1),'Tabel Acuan'!$A$10:$B$17,2,0)</f>
        <v>Information Technology (IT)</v>
      </c>
      <c r="E419" t="str">
        <f>VLOOKUP(MID(B419,8,2),'Tabel Acuan'!$A$1:$B$6,2,0)</f>
        <v>Staff</v>
      </c>
      <c r="F419" s="12">
        <v>42783</v>
      </c>
      <c r="G419" s="8" cm="1">
        <f t="array" ref="G419">INDEX('Tabel Acuan'!$F$4:$F$39,
MATCH(1,('Tabel Acuan'!$D$4:$D$39='Data Gaji Pegawai'!D419)*('Tabel Acuan'!$E$4:$E$39='Data Gaji Pegawai'!E419),0))</f>
        <v>6000000</v>
      </c>
      <c r="H419">
        <f>I419/100000</f>
        <v>21</v>
      </c>
      <c r="I419" s="14">
        <v>2100000</v>
      </c>
      <c r="J419">
        <f ca="1">INT((TODAY()-F419)/30.417)</f>
        <v>112</v>
      </c>
      <c r="K419" s="13">
        <f t="shared" ca="1" si="6"/>
        <v>0</v>
      </c>
      <c r="L419" s="8">
        <f>G419*3.7%</f>
        <v>222000.00000000003</v>
      </c>
      <c r="M419" s="8">
        <f>G419*2%</f>
        <v>120000</v>
      </c>
      <c r="N419" s="8">
        <f>G419*4%</f>
        <v>240000</v>
      </c>
      <c r="O419" s="8">
        <f>G419*1%</f>
        <v>60000</v>
      </c>
      <c r="P419">
        <v>15</v>
      </c>
      <c r="Q419" s="13">
        <f>P419*200000</f>
        <v>3000000</v>
      </c>
      <c r="R419" s="8">
        <v>1500000</v>
      </c>
      <c r="S419" s="9">
        <f>8%*G419</f>
        <v>480000</v>
      </c>
    </row>
    <row r="420" spans="1:19" x14ac:dyDescent="0.3">
      <c r="A420">
        <v>418</v>
      </c>
      <c r="B420" s="10" t="s">
        <v>868</v>
      </c>
      <c r="C420" s="10" t="s">
        <v>869</v>
      </c>
      <c r="D420" s="11" t="str">
        <f>VLOOKUP(MID(B420,6,1),'Tabel Acuan'!$A$10:$B$17,2,0)</f>
        <v>Finance</v>
      </c>
      <c r="E420" t="str">
        <f>VLOOKUP(MID(B420,8,2),'Tabel Acuan'!$A$1:$B$6,2,0)</f>
        <v>Senior Staff</v>
      </c>
      <c r="F420" s="12">
        <v>45685</v>
      </c>
      <c r="G420" s="8" cm="1">
        <f t="array" ref="G420">INDEX('Tabel Acuan'!$F$4:$F$39,
MATCH(1,('Tabel Acuan'!$D$4:$D$39='Data Gaji Pegawai'!D420)*('Tabel Acuan'!$E$4:$E$39='Data Gaji Pegawai'!E420),0))</f>
        <v>6600000</v>
      </c>
      <c r="H420">
        <f>I420/100000</f>
        <v>6</v>
      </c>
      <c r="I420" s="14">
        <v>600000</v>
      </c>
      <c r="J420">
        <f ca="1">INT((TODAY()-F420)/30.417)</f>
        <v>17</v>
      </c>
      <c r="K420" s="13">
        <f t="shared" ca="1" si="6"/>
        <v>0</v>
      </c>
      <c r="L420" s="8">
        <f>G420*3.7%</f>
        <v>244200.00000000003</v>
      </c>
      <c r="M420" s="8">
        <f>G420*2%</f>
        <v>132000</v>
      </c>
      <c r="N420" s="8">
        <f>G420*4%</f>
        <v>264000</v>
      </c>
      <c r="O420" s="8">
        <f>G420*1%</f>
        <v>66000</v>
      </c>
      <c r="P420">
        <v>10</v>
      </c>
      <c r="Q420" s="13">
        <f>P420*200000</f>
        <v>2000000</v>
      </c>
      <c r="R420" s="8">
        <v>0</v>
      </c>
      <c r="S420" s="9">
        <f>8%*G420</f>
        <v>528000</v>
      </c>
    </row>
    <row r="421" spans="1:19" x14ac:dyDescent="0.3">
      <c r="A421">
        <v>419</v>
      </c>
      <c r="B421" s="10" t="s">
        <v>870</v>
      </c>
      <c r="C421" s="10" t="s">
        <v>871</v>
      </c>
      <c r="D421" s="11" t="str">
        <f>VLOOKUP(MID(B421,6,1),'Tabel Acuan'!$A$10:$B$17,2,0)</f>
        <v>Information Technology (IT)</v>
      </c>
      <c r="E421" t="str">
        <f>VLOOKUP(MID(B421,8,2),'Tabel Acuan'!$A$1:$B$6,2,0)</f>
        <v>Supervisor</v>
      </c>
      <c r="F421" s="12">
        <v>43377</v>
      </c>
      <c r="G421" s="8" cm="1">
        <f t="array" ref="G421">INDEX('Tabel Acuan'!$F$4:$F$39,
MATCH(1,('Tabel Acuan'!$D$4:$D$39='Data Gaji Pegawai'!D421)*('Tabel Acuan'!$E$4:$E$39='Data Gaji Pegawai'!E421),0))</f>
        <v>9000000</v>
      </c>
      <c r="H421">
        <f>I421/100000</f>
        <v>16</v>
      </c>
      <c r="I421" s="14">
        <v>1600000</v>
      </c>
      <c r="J421">
        <f ca="1">INT((TODAY()-F421)/30.417)</f>
        <v>92</v>
      </c>
      <c r="K421" s="13">
        <f t="shared" ca="1" si="6"/>
        <v>0</v>
      </c>
      <c r="L421" s="8">
        <f>G421*3.7%</f>
        <v>333000.00000000006</v>
      </c>
      <c r="M421" s="8">
        <f>G421*2%</f>
        <v>180000</v>
      </c>
      <c r="N421" s="8">
        <f>G421*4%</f>
        <v>360000</v>
      </c>
      <c r="O421" s="8">
        <f>G421*1%</f>
        <v>90000</v>
      </c>
      <c r="P421">
        <v>9</v>
      </c>
      <c r="Q421" s="13">
        <f>P421*200000</f>
        <v>1800000</v>
      </c>
      <c r="R421" s="8">
        <v>0</v>
      </c>
      <c r="S421" s="9">
        <f>8%*G421</f>
        <v>720000</v>
      </c>
    </row>
    <row r="422" spans="1:19" x14ac:dyDescent="0.3">
      <c r="A422">
        <v>420</v>
      </c>
      <c r="B422" s="10" t="s">
        <v>872</v>
      </c>
      <c r="C422" s="10" t="s">
        <v>873</v>
      </c>
      <c r="D422" s="11" t="str">
        <f>VLOOKUP(MID(B422,6,1),'Tabel Acuan'!$A$10:$B$17,2,0)</f>
        <v>Human Resources (HR)</v>
      </c>
      <c r="E422" t="str">
        <f>VLOOKUP(MID(B422,8,2),'Tabel Acuan'!$A$1:$B$6,2,0)</f>
        <v>Staff</v>
      </c>
      <c r="F422" s="12">
        <v>42448</v>
      </c>
      <c r="G422" s="8" cm="1">
        <f t="array" ref="G422">INDEX('Tabel Acuan'!$F$4:$F$39,
MATCH(1,('Tabel Acuan'!$D$4:$D$39='Data Gaji Pegawai'!D422)*('Tabel Acuan'!$E$4:$E$39='Data Gaji Pegawai'!E422),0))</f>
        <v>5000000</v>
      </c>
      <c r="H422">
        <f>I422/100000</f>
        <v>3</v>
      </c>
      <c r="I422" s="14">
        <v>300000</v>
      </c>
      <c r="J422">
        <f ca="1">INT((TODAY()-F422)/30.417)</f>
        <v>123</v>
      </c>
      <c r="K422" s="13">
        <f t="shared" ca="1" si="6"/>
        <v>0</v>
      </c>
      <c r="L422" s="8">
        <f>G422*3.7%</f>
        <v>185000.00000000003</v>
      </c>
      <c r="M422" s="8">
        <f>G422*2%</f>
        <v>100000</v>
      </c>
      <c r="N422" s="8">
        <f>G422*4%</f>
        <v>200000</v>
      </c>
      <c r="O422" s="8">
        <f>G422*1%</f>
        <v>50000</v>
      </c>
      <c r="P422">
        <v>11</v>
      </c>
      <c r="Q422" s="13">
        <f>P422*200000</f>
        <v>2200000</v>
      </c>
      <c r="R422" s="8">
        <v>0</v>
      </c>
      <c r="S422" s="9">
        <f>8%*G422</f>
        <v>400000</v>
      </c>
    </row>
    <row r="423" spans="1:19" x14ac:dyDescent="0.3">
      <c r="A423">
        <v>421</v>
      </c>
      <c r="B423" s="10" t="s">
        <v>874</v>
      </c>
      <c r="C423" s="10" t="s">
        <v>875</v>
      </c>
      <c r="D423" s="11" t="str">
        <f>VLOOKUP(MID(B423,6,1),'Tabel Acuan'!$A$10:$B$17,2,0)</f>
        <v>Logistics</v>
      </c>
      <c r="E423" t="str">
        <f>VLOOKUP(MID(B423,8,2),'Tabel Acuan'!$A$1:$B$6,2,0)</f>
        <v>Supervisor</v>
      </c>
      <c r="F423" s="12">
        <v>42615</v>
      </c>
      <c r="G423" s="8" cm="1">
        <f t="array" ref="G423">INDEX('Tabel Acuan'!$F$4:$F$39,
MATCH(1,('Tabel Acuan'!$D$4:$D$39='Data Gaji Pegawai'!D423)*('Tabel Acuan'!$E$4:$E$39='Data Gaji Pegawai'!E423),0))</f>
        <v>7500000</v>
      </c>
      <c r="H423">
        <f>I423/100000</f>
        <v>12</v>
      </c>
      <c r="I423" s="14">
        <v>1200000</v>
      </c>
      <c r="J423">
        <f ca="1">INT((TODAY()-F423)/30.417)</f>
        <v>118</v>
      </c>
      <c r="K423" s="13">
        <f t="shared" ca="1" si="6"/>
        <v>0</v>
      </c>
      <c r="L423" s="8">
        <f>G423*3.7%</f>
        <v>277500.00000000006</v>
      </c>
      <c r="M423" s="8">
        <f>G423*2%</f>
        <v>150000</v>
      </c>
      <c r="N423" s="8">
        <f>G423*4%</f>
        <v>300000</v>
      </c>
      <c r="O423" s="8">
        <f>G423*1%</f>
        <v>75000</v>
      </c>
      <c r="P423">
        <v>3</v>
      </c>
      <c r="Q423" s="13">
        <f>P423*200000</f>
        <v>600000</v>
      </c>
      <c r="R423" s="8">
        <v>0</v>
      </c>
      <c r="S423" s="9">
        <f>8%*G423</f>
        <v>600000</v>
      </c>
    </row>
    <row r="424" spans="1:19" x14ac:dyDescent="0.3">
      <c r="A424">
        <v>422</v>
      </c>
      <c r="B424" s="10" t="s">
        <v>876</v>
      </c>
      <c r="C424" s="10" t="s">
        <v>877</v>
      </c>
      <c r="D424" s="11" t="str">
        <f>VLOOKUP(MID(B424,6,1),'Tabel Acuan'!$A$10:$B$17,2,0)</f>
        <v>Sales</v>
      </c>
      <c r="E424" t="str">
        <f>VLOOKUP(MID(B424,8,2),'Tabel Acuan'!$A$1:$B$6,2,0)</f>
        <v>Staff</v>
      </c>
      <c r="F424" s="12">
        <v>42795</v>
      </c>
      <c r="G424" s="8" cm="1">
        <f t="array" ref="G424">INDEX('Tabel Acuan'!$F$4:$F$39,
MATCH(1,('Tabel Acuan'!$D$4:$D$39='Data Gaji Pegawai'!D424)*('Tabel Acuan'!$E$4:$E$39='Data Gaji Pegawai'!E424),0))</f>
        <v>5000000</v>
      </c>
      <c r="H424">
        <f>I424/100000</f>
        <v>19</v>
      </c>
      <c r="I424" s="14">
        <v>1900000</v>
      </c>
      <c r="J424">
        <f ca="1">INT((TODAY()-F424)/30.417)</f>
        <v>112</v>
      </c>
      <c r="K424" s="13">
        <f t="shared" ca="1" si="6"/>
        <v>0</v>
      </c>
      <c r="L424" s="8">
        <f>G424*3.7%</f>
        <v>185000.00000000003</v>
      </c>
      <c r="M424" s="8">
        <f>G424*2%</f>
        <v>100000</v>
      </c>
      <c r="N424" s="8">
        <f>G424*4%</f>
        <v>200000</v>
      </c>
      <c r="O424" s="8">
        <f>G424*1%</f>
        <v>50000</v>
      </c>
      <c r="P424">
        <v>12</v>
      </c>
      <c r="Q424" s="13">
        <f>P424*200000</f>
        <v>2400000</v>
      </c>
      <c r="R424" s="8">
        <v>3500000</v>
      </c>
      <c r="S424" s="9">
        <f>8%*G424</f>
        <v>400000</v>
      </c>
    </row>
    <row r="425" spans="1:19" x14ac:dyDescent="0.3">
      <c r="A425">
        <v>423</v>
      </c>
      <c r="B425" s="10" t="s">
        <v>878</v>
      </c>
      <c r="C425" s="10" t="s">
        <v>879</v>
      </c>
      <c r="D425" s="11" t="str">
        <f>VLOOKUP(MID(B425,6,1),'Tabel Acuan'!$A$10:$B$17,2,0)</f>
        <v>Human Resources (HR)</v>
      </c>
      <c r="E425" t="str">
        <f>VLOOKUP(MID(B425,8,2),'Tabel Acuan'!$A$1:$B$6,2,0)</f>
        <v>Senior Staff</v>
      </c>
      <c r="F425" s="12">
        <v>43655</v>
      </c>
      <c r="G425" s="8" cm="1">
        <f t="array" ref="G425">INDEX('Tabel Acuan'!$F$4:$F$39,
MATCH(1,('Tabel Acuan'!$D$4:$D$39='Data Gaji Pegawai'!D425)*('Tabel Acuan'!$E$4:$E$39='Data Gaji Pegawai'!E425),0))</f>
        <v>6000000</v>
      </c>
      <c r="H425">
        <f>I425/100000</f>
        <v>56</v>
      </c>
      <c r="I425" s="14">
        <v>5600000</v>
      </c>
      <c r="J425">
        <f ca="1">INT((TODAY()-F425)/30.417)</f>
        <v>83</v>
      </c>
      <c r="K425" s="13">
        <f t="shared" ca="1" si="6"/>
        <v>0</v>
      </c>
      <c r="L425" s="8">
        <f>G425*3.7%</f>
        <v>222000.00000000003</v>
      </c>
      <c r="M425" s="8">
        <f>G425*2%</f>
        <v>120000</v>
      </c>
      <c r="N425" s="8">
        <f>G425*4%</f>
        <v>240000</v>
      </c>
      <c r="O425" s="8">
        <f>G425*1%</f>
        <v>60000</v>
      </c>
      <c r="P425">
        <v>12</v>
      </c>
      <c r="Q425" s="13">
        <f>P425*200000</f>
        <v>2400000</v>
      </c>
      <c r="R425" s="8">
        <v>2000000</v>
      </c>
      <c r="S425" s="9">
        <f>8%*G425</f>
        <v>480000</v>
      </c>
    </row>
    <row r="426" spans="1:19" x14ac:dyDescent="0.3">
      <c r="A426">
        <v>424</v>
      </c>
      <c r="B426" s="10" t="s">
        <v>880</v>
      </c>
      <c r="C426" s="10" t="s">
        <v>881</v>
      </c>
      <c r="D426" s="11" t="str">
        <f>VLOOKUP(MID(B426,6,1),'Tabel Acuan'!$A$10:$B$17,2,0)</f>
        <v>Logistics</v>
      </c>
      <c r="E426" t="str">
        <f>VLOOKUP(MID(B426,8,2),'Tabel Acuan'!$A$1:$B$6,2,0)</f>
        <v>Senior Staff</v>
      </c>
      <c r="F426" s="12">
        <v>42142</v>
      </c>
      <c r="G426" s="8" cm="1">
        <f t="array" ref="G426">INDEX('Tabel Acuan'!$F$4:$F$39,
MATCH(1,('Tabel Acuan'!$D$4:$D$39='Data Gaji Pegawai'!D426)*('Tabel Acuan'!$E$4:$E$39='Data Gaji Pegawai'!E426),0))</f>
        <v>6250000</v>
      </c>
      <c r="H426">
        <f>I426/100000</f>
        <v>36</v>
      </c>
      <c r="I426" s="14">
        <v>3600000</v>
      </c>
      <c r="J426">
        <f ca="1">INT((TODAY()-F426)/30.417)</f>
        <v>133</v>
      </c>
      <c r="K426" s="13">
        <f t="shared" ca="1" si="6"/>
        <v>0</v>
      </c>
      <c r="L426" s="8">
        <f>G426*3.7%</f>
        <v>231250.00000000003</v>
      </c>
      <c r="M426" s="8">
        <f>G426*2%</f>
        <v>125000</v>
      </c>
      <c r="N426" s="8">
        <f>G426*4%</f>
        <v>250000</v>
      </c>
      <c r="O426" s="8">
        <f>G426*1%</f>
        <v>62500</v>
      </c>
      <c r="P426">
        <v>1</v>
      </c>
      <c r="Q426" s="13">
        <f>P426*200000</f>
        <v>200000</v>
      </c>
      <c r="R426" s="8">
        <v>0</v>
      </c>
      <c r="S426" s="9">
        <f>8%*G426</f>
        <v>500000</v>
      </c>
    </row>
    <row r="427" spans="1:19" x14ac:dyDescent="0.3">
      <c r="A427">
        <v>425</v>
      </c>
      <c r="B427" s="10" t="s">
        <v>882</v>
      </c>
      <c r="C427" s="10" t="s">
        <v>883</v>
      </c>
      <c r="D427" s="11" t="str">
        <f>VLOOKUP(MID(B427,6,1),'Tabel Acuan'!$A$10:$B$17,2,0)</f>
        <v>Human Resources (HR)</v>
      </c>
      <c r="E427" t="str">
        <f>VLOOKUP(MID(B427,8,2),'Tabel Acuan'!$A$1:$B$6,2,0)</f>
        <v>Staff</v>
      </c>
      <c r="F427" s="12">
        <v>45869</v>
      </c>
      <c r="G427" s="8" cm="1">
        <f t="array" ref="G427">INDEX('Tabel Acuan'!$F$4:$F$39,
MATCH(1,('Tabel Acuan'!$D$4:$D$39='Data Gaji Pegawai'!D427)*('Tabel Acuan'!$E$4:$E$39='Data Gaji Pegawai'!E427),0))</f>
        <v>5000000</v>
      </c>
      <c r="H427">
        <f>I427/100000</f>
        <v>48</v>
      </c>
      <c r="I427" s="14">
        <v>4800000</v>
      </c>
      <c r="J427">
        <f ca="1">INT((TODAY()-F427)/30.417)</f>
        <v>11</v>
      </c>
      <c r="K427" s="13">
        <f t="shared" ca="1" si="6"/>
        <v>0</v>
      </c>
      <c r="L427" s="8">
        <f>G427*3.7%</f>
        <v>185000.00000000003</v>
      </c>
      <c r="M427" s="8">
        <f>G427*2%</f>
        <v>100000</v>
      </c>
      <c r="N427" s="8">
        <f>G427*4%</f>
        <v>200000</v>
      </c>
      <c r="O427" s="8">
        <f>G427*1%</f>
        <v>50000</v>
      </c>
      <c r="P427">
        <v>7</v>
      </c>
      <c r="Q427" s="13">
        <f>P427*200000</f>
        <v>1400000</v>
      </c>
      <c r="R427" s="8">
        <v>1500000</v>
      </c>
      <c r="S427" s="9">
        <f>8%*G427</f>
        <v>400000</v>
      </c>
    </row>
    <row r="428" spans="1:19" x14ac:dyDescent="0.3">
      <c r="A428">
        <v>426</v>
      </c>
      <c r="B428" s="10" t="s">
        <v>884</v>
      </c>
      <c r="C428" s="10" t="s">
        <v>885</v>
      </c>
      <c r="D428" s="11" t="str">
        <f>VLOOKUP(MID(B428,6,1),'Tabel Acuan'!$A$10:$B$17,2,0)</f>
        <v>Information Technology (IT)</v>
      </c>
      <c r="E428" t="str">
        <f>VLOOKUP(MID(B428,8,2),'Tabel Acuan'!$A$1:$B$6,2,0)</f>
        <v>Manager</v>
      </c>
      <c r="F428" s="12">
        <v>45220</v>
      </c>
      <c r="G428" s="8" cm="1">
        <f t="array" ref="G428">INDEX('Tabel Acuan'!$F$4:$F$39,
MATCH(1,('Tabel Acuan'!$D$4:$D$39='Data Gaji Pegawai'!D428)*('Tabel Acuan'!$E$4:$E$39='Data Gaji Pegawai'!E428),0))</f>
        <v>15000000</v>
      </c>
      <c r="H428">
        <f>I428/100000</f>
        <v>56</v>
      </c>
      <c r="I428" s="14">
        <v>5600000</v>
      </c>
      <c r="J428">
        <f ca="1">INT((TODAY()-F428)/30.417)</f>
        <v>32</v>
      </c>
      <c r="K428" s="13">
        <f t="shared" ca="1" si="6"/>
        <v>0</v>
      </c>
      <c r="L428" s="8">
        <f>G428*3.7%</f>
        <v>555000.00000000012</v>
      </c>
      <c r="M428" s="8">
        <f>G428*2%</f>
        <v>300000</v>
      </c>
      <c r="N428" s="8">
        <f>G428*4%</f>
        <v>600000</v>
      </c>
      <c r="O428" s="8">
        <f>G428*1%</f>
        <v>150000</v>
      </c>
      <c r="P428">
        <v>7</v>
      </c>
      <c r="Q428" s="13">
        <f>P428*200000</f>
        <v>1400000</v>
      </c>
      <c r="R428" s="8">
        <v>300000</v>
      </c>
      <c r="S428" s="9">
        <f>8%*G428</f>
        <v>1200000</v>
      </c>
    </row>
    <row r="429" spans="1:19" x14ac:dyDescent="0.3">
      <c r="A429">
        <v>427</v>
      </c>
      <c r="B429" s="10" t="s">
        <v>886</v>
      </c>
      <c r="C429" s="10" t="s">
        <v>887</v>
      </c>
      <c r="D429" s="11" t="str">
        <f>VLOOKUP(MID(B429,6,1),'Tabel Acuan'!$A$10:$B$17,2,0)</f>
        <v>Operations</v>
      </c>
      <c r="E429" t="str">
        <f>VLOOKUP(MID(B429,8,2),'Tabel Acuan'!$A$1:$B$6,2,0)</f>
        <v>Supervisor</v>
      </c>
      <c r="F429" s="12">
        <v>44461</v>
      </c>
      <c r="G429" s="8" cm="1">
        <f t="array" ref="G429">INDEX('Tabel Acuan'!$F$4:$F$39,
MATCH(1,('Tabel Acuan'!$D$4:$D$39='Data Gaji Pegawai'!D429)*('Tabel Acuan'!$E$4:$E$39='Data Gaji Pegawai'!E429),0))</f>
        <v>7700000</v>
      </c>
      <c r="H429">
        <f>I429/100000</f>
        <v>51</v>
      </c>
      <c r="I429" s="14">
        <v>5100000</v>
      </c>
      <c r="J429">
        <f ca="1">INT((TODAY()-F429)/30.417)</f>
        <v>57</v>
      </c>
      <c r="K429" s="13">
        <f t="shared" ca="1" si="6"/>
        <v>0</v>
      </c>
      <c r="L429" s="8">
        <f>G429*3.7%</f>
        <v>284900.00000000006</v>
      </c>
      <c r="M429" s="8">
        <f>G429*2%</f>
        <v>154000</v>
      </c>
      <c r="N429" s="8">
        <f>G429*4%</f>
        <v>308000</v>
      </c>
      <c r="O429" s="8">
        <f>G429*1%</f>
        <v>77000</v>
      </c>
      <c r="P429">
        <v>4</v>
      </c>
      <c r="Q429" s="13">
        <f>P429*200000</f>
        <v>800000</v>
      </c>
      <c r="R429" s="8">
        <v>0</v>
      </c>
      <c r="S429" s="9">
        <f>8%*G429</f>
        <v>616000</v>
      </c>
    </row>
    <row r="430" spans="1:19" x14ac:dyDescent="0.3">
      <c r="A430">
        <v>428</v>
      </c>
      <c r="B430" s="10" t="s">
        <v>888</v>
      </c>
      <c r="C430" s="10" t="s">
        <v>889</v>
      </c>
      <c r="D430" s="11" t="str">
        <f>VLOOKUP(MID(B430,6,1),'Tabel Acuan'!$A$10:$B$17,2,0)</f>
        <v>Finance</v>
      </c>
      <c r="E430" t="str">
        <f>VLOOKUP(MID(B430,8,2),'Tabel Acuan'!$A$1:$B$6,2,0)</f>
        <v>Manager</v>
      </c>
      <c r="F430" s="12">
        <v>44660</v>
      </c>
      <c r="G430" s="8" cm="1">
        <f t="array" ref="G430">INDEX('Tabel Acuan'!$F$4:$F$39,
MATCH(1,('Tabel Acuan'!$D$4:$D$39='Data Gaji Pegawai'!D430)*('Tabel Acuan'!$E$4:$E$39='Data Gaji Pegawai'!E430),0))</f>
        <v>13500000</v>
      </c>
      <c r="H430">
        <f>I430/100000</f>
        <v>8</v>
      </c>
      <c r="I430" s="14">
        <v>800000</v>
      </c>
      <c r="J430">
        <f ca="1">INT((TODAY()-F430)/30.417)</f>
        <v>50</v>
      </c>
      <c r="K430" s="13">
        <f t="shared" ca="1" si="6"/>
        <v>0</v>
      </c>
      <c r="L430" s="8">
        <f>G430*3.7%</f>
        <v>499500.00000000006</v>
      </c>
      <c r="M430" s="8">
        <f>G430*2%</f>
        <v>270000</v>
      </c>
      <c r="N430" s="8">
        <f>G430*4%</f>
        <v>540000</v>
      </c>
      <c r="O430" s="8">
        <f>G430*1%</f>
        <v>135000</v>
      </c>
      <c r="P430">
        <v>1</v>
      </c>
      <c r="Q430" s="13">
        <f>P430*200000</f>
        <v>200000</v>
      </c>
      <c r="R430" s="8">
        <v>3500000</v>
      </c>
      <c r="S430" s="9">
        <f>8%*G430</f>
        <v>1080000</v>
      </c>
    </row>
    <row r="431" spans="1:19" x14ac:dyDescent="0.3">
      <c r="A431">
        <v>429</v>
      </c>
      <c r="B431" s="10" t="s">
        <v>890</v>
      </c>
      <c r="C431" s="10" t="s">
        <v>891</v>
      </c>
      <c r="D431" s="11" t="str">
        <f>VLOOKUP(MID(B431,6,1),'Tabel Acuan'!$A$10:$B$17,2,0)</f>
        <v>Finance</v>
      </c>
      <c r="E431" t="str">
        <f>VLOOKUP(MID(B431,8,2),'Tabel Acuan'!$A$1:$B$6,2,0)</f>
        <v>Manager</v>
      </c>
      <c r="F431" s="12">
        <v>44501</v>
      </c>
      <c r="G431" s="8" cm="1">
        <f t="array" ref="G431">INDEX('Tabel Acuan'!$F$4:$F$39,
MATCH(1,('Tabel Acuan'!$D$4:$D$39='Data Gaji Pegawai'!D431)*('Tabel Acuan'!$E$4:$E$39='Data Gaji Pegawai'!E431),0))</f>
        <v>13500000</v>
      </c>
      <c r="H431">
        <f>I431/100000</f>
        <v>16</v>
      </c>
      <c r="I431" s="14">
        <v>1600000</v>
      </c>
      <c r="J431">
        <f ca="1">INT((TODAY()-F431)/30.417)</f>
        <v>56</v>
      </c>
      <c r="K431" s="13">
        <f t="shared" ca="1" si="6"/>
        <v>0</v>
      </c>
      <c r="L431" s="8">
        <f>G431*3.7%</f>
        <v>499500.00000000006</v>
      </c>
      <c r="M431" s="8">
        <f>G431*2%</f>
        <v>270000</v>
      </c>
      <c r="N431" s="8">
        <f>G431*4%</f>
        <v>540000</v>
      </c>
      <c r="O431" s="8">
        <f>G431*1%</f>
        <v>135000</v>
      </c>
      <c r="P431">
        <v>10</v>
      </c>
      <c r="Q431" s="13">
        <f>P431*200000</f>
        <v>2000000</v>
      </c>
      <c r="R431" s="8">
        <v>5000000</v>
      </c>
      <c r="S431" s="9">
        <f>8%*G431</f>
        <v>1080000</v>
      </c>
    </row>
    <row r="432" spans="1:19" x14ac:dyDescent="0.3">
      <c r="A432">
        <v>430</v>
      </c>
      <c r="B432" s="10" t="s">
        <v>892</v>
      </c>
      <c r="C432" s="10" t="s">
        <v>307</v>
      </c>
      <c r="D432" s="11" t="str">
        <f>VLOOKUP(MID(B432,6,1),'Tabel Acuan'!$A$10:$B$17,2,0)</f>
        <v>Human Resources (HR)</v>
      </c>
      <c r="E432" t="str">
        <f>VLOOKUP(MID(B432,8,2),'Tabel Acuan'!$A$1:$B$6,2,0)</f>
        <v>Staff</v>
      </c>
      <c r="F432" s="12">
        <v>42536</v>
      </c>
      <c r="G432" s="8" cm="1">
        <f t="array" ref="G432">INDEX('Tabel Acuan'!$F$4:$F$39,
MATCH(1,('Tabel Acuan'!$D$4:$D$39='Data Gaji Pegawai'!D432)*('Tabel Acuan'!$E$4:$E$39='Data Gaji Pegawai'!E432),0))</f>
        <v>5000000</v>
      </c>
      <c r="H432">
        <f>I432/100000</f>
        <v>54</v>
      </c>
      <c r="I432" s="14">
        <v>5400000</v>
      </c>
      <c r="J432">
        <f ca="1">INT((TODAY()-F432)/30.417)</f>
        <v>120</v>
      </c>
      <c r="K432" s="13">
        <f t="shared" ca="1" si="6"/>
        <v>0</v>
      </c>
      <c r="L432" s="8">
        <f>G432*3.7%</f>
        <v>185000.00000000003</v>
      </c>
      <c r="M432" s="8">
        <f>G432*2%</f>
        <v>100000</v>
      </c>
      <c r="N432" s="8">
        <f>G432*4%</f>
        <v>200000</v>
      </c>
      <c r="O432" s="8">
        <f>G432*1%</f>
        <v>50000</v>
      </c>
      <c r="P432">
        <v>8</v>
      </c>
      <c r="Q432" s="13">
        <f>P432*200000</f>
        <v>1600000</v>
      </c>
      <c r="R432" s="8">
        <v>250000</v>
      </c>
      <c r="S432" s="9">
        <f>8%*G432</f>
        <v>400000</v>
      </c>
    </row>
    <row r="433" spans="1:19" x14ac:dyDescent="0.3">
      <c r="A433">
        <v>431</v>
      </c>
      <c r="B433" s="10" t="s">
        <v>893</v>
      </c>
      <c r="C433" s="10" t="s">
        <v>894</v>
      </c>
      <c r="D433" s="11" t="str">
        <f>VLOOKUP(MID(B433,6,1),'Tabel Acuan'!$A$10:$B$17,2,0)</f>
        <v>Marketing</v>
      </c>
      <c r="E433" t="str">
        <f>VLOOKUP(MID(B433,8,2),'Tabel Acuan'!$A$1:$B$6,2,0)</f>
        <v>Senior Staff</v>
      </c>
      <c r="F433" s="12">
        <v>45504</v>
      </c>
      <c r="G433" s="8" cm="1">
        <f t="array" ref="G433">INDEX('Tabel Acuan'!$F$4:$F$39,
MATCH(1,('Tabel Acuan'!$D$4:$D$39='Data Gaji Pegawai'!D433)*('Tabel Acuan'!$E$4:$E$39='Data Gaji Pegawai'!E433),0))</f>
        <v>6400000</v>
      </c>
      <c r="H433">
        <f>I433/100000</f>
        <v>9</v>
      </c>
      <c r="I433" s="14">
        <v>900000</v>
      </c>
      <c r="J433">
        <f ca="1">INT((TODAY()-F433)/30.417)</f>
        <v>23</v>
      </c>
      <c r="K433" s="13">
        <f t="shared" ca="1" si="6"/>
        <v>0</v>
      </c>
      <c r="L433" s="8">
        <f>G433*3.7%</f>
        <v>236800.00000000003</v>
      </c>
      <c r="M433" s="8">
        <f>G433*2%</f>
        <v>128000</v>
      </c>
      <c r="N433" s="8">
        <f>G433*4%</f>
        <v>256000</v>
      </c>
      <c r="O433" s="8">
        <f>G433*1%</f>
        <v>64000</v>
      </c>
      <c r="P433">
        <v>4</v>
      </c>
      <c r="Q433" s="13">
        <f>P433*200000</f>
        <v>800000</v>
      </c>
      <c r="R433" s="8">
        <v>3000000</v>
      </c>
      <c r="S433" s="9">
        <f>8%*G433</f>
        <v>512000</v>
      </c>
    </row>
    <row r="434" spans="1:19" x14ac:dyDescent="0.3">
      <c r="A434">
        <v>432</v>
      </c>
      <c r="B434" s="10" t="s">
        <v>895</v>
      </c>
      <c r="C434" s="10" t="s">
        <v>896</v>
      </c>
      <c r="D434" s="11" t="str">
        <f>VLOOKUP(MID(B434,6,1),'Tabel Acuan'!$A$10:$B$17,2,0)</f>
        <v>Human Resources (HR)</v>
      </c>
      <c r="E434" t="str">
        <f>VLOOKUP(MID(B434,8,2),'Tabel Acuan'!$A$1:$B$6,2,0)</f>
        <v>Senior Staff</v>
      </c>
      <c r="F434" s="12">
        <v>42644</v>
      </c>
      <c r="G434" s="8" cm="1">
        <f t="array" ref="G434">INDEX('Tabel Acuan'!$F$4:$F$39,
MATCH(1,('Tabel Acuan'!$D$4:$D$39='Data Gaji Pegawai'!D434)*('Tabel Acuan'!$E$4:$E$39='Data Gaji Pegawai'!E434),0))</f>
        <v>6000000</v>
      </c>
      <c r="H434">
        <f>I434/100000</f>
        <v>56</v>
      </c>
      <c r="I434" s="14">
        <v>5600000</v>
      </c>
      <c r="J434">
        <f ca="1">INT((TODAY()-F434)/30.417)</f>
        <v>117</v>
      </c>
      <c r="K434" s="13">
        <f t="shared" ca="1" si="6"/>
        <v>0</v>
      </c>
      <c r="L434" s="8">
        <f>G434*3.7%</f>
        <v>222000.00000000003</v>
      </c>
      <c r="M434" s="8">
        <f>G434*2%</f>
        <v>120000</v>
      </c>
      <c r="N434" s="8">
        <f>G434*4%</f>
        <v>240000</v>
      </c>
      <c r="O434" s="8">
        <f>G434*1%</f>
        <v>60000</v>
      </c>
      <c r="P434">
        <v>11</v>
      </c>
      <c r="Q434" s="13">
        <f>P434*200000</f>
        <v>2200000</v>
      </c>
      <c r="R434" s="8">
        <v>1000000</v>
      </c>
      <c r="S434" s="9">
        <f>8%*G434</f>
        <v>480000</v>
      </c>
    </row>
    <row r="435" spans="1:19" x14ac:dyDescent="0.3">
      <c r="A435">
        <v>433</v>
      </c>
      <c r="B435" s="10" t="s">
        <v>897</v>
      </c>
      <c r="C435" s="10" t="s">
        <v>394</v>
      </c>
      <c r="D435" s="11" t="str">
        <f>VLOOKUP(MID(B435,6,1),'Tabel Acuan'!$A$10:$B$17,2,0)</f>
        <v>Sales</v>
      </c>
      <c r="E435" t="str">
        <f>VLOOKUP(MID(B435,8,2),'Tabel Acuan'!$A$1:$B$6,2,0)</f>
        <v>Senior Staff</v>
      </c>
      <c r="F435" s="12">
        <v>44216</v>
      </c>
      <c r="G435" s="8" cm="1">
        <f t="array" ref="G435">INDEX('Tabel Acuan'!$F$4:$F$39,
MATCH(1,('Tabel Acuan'!$D$4:$D$39='Data Gaji Pegawai'!D435)*('Tabel Acuan'!$E$4:$E$39='Data Gaji Pegawai'!E435),0))</f>
        <v>6000000</v>
      </c>
      <c r="H435">
        <f>I435/100000</f>
        <v>11</v>
      </c>
      <c r="I435" s="14">
        <v>1100000</v>
      </c>
      <c r="J435">
        <f ca="1">INT((TODAY()-F435)/30.417)</f>
        <v>65</v>
      </c>
      <c r="K435" s="13">
        <f t="shared" ca="1" si="6"/>
        <v>0</v>
      </c>
      <c r="L435" s="8">
        <f>G435*3.7%</f>
        <v>222000.00000000003</v>
      </c>
      <c r="M435" s="8">
        <f>G435*2%</f>
        <v>120000</v>
      </c>
      <c r="N435" s="8">
        <f>G435*4%</f>
        <v>240000</v>
      </c>
      <c r="O435" s="8">
        <f>G435*1%</f>
        <v>60000</v>
      </c>
      <c r="P435">
        <v>8</v>
      </c>
      <c r="Q435" s="13">
        <f>P435*200000</f>
        <v>1600000</v>
      </c>
      <c r="R435" s="8">
        <v>3000000</v>
      </c>
      <c r="S435" s="9">
        <f>8%*G435</f>
        <v>480000</v>
      </c>
    </row>
    <row r="436" spans="1:19" x14ac:dyDescent="0.3">
      <c r="A436">
        <v>434</v>
      </c>
      <c r="B436" s="10" t="s">
        <v>898</v>
      </c>
      <c r="C436" s="10" t="s">
        <v>899</v>
      </c>
      <c r="D436" s="11" t="str">
        <f>VLOOKUP(MID(B436,6,1),'Tabel Acuan'!$A$10:$B$17,2,0)</f>
        <v>Sales</v>
      </c>
      <c r="E436" t="str">
        <f>VLOOKUP(MID(B436,8,2),'Tabel Acuan'!$A$1:$B$6,2,0)</f>
        <v>Supervisor</v>
      </c>
      <c r="F436" s="12">
        <v>45461</v>
      </c>
      <c r="G436" s="8" cm="1">
        <f t="array" ref="G436">INDEX('Tabel Acuan'!$F$4:$F$39,
MATCH(1,('Tabel Acuan'!$D$4:$D$39='Data Gaji Pegawai'!D436)*('Tabel Acuan'!$E$4:$E$39='Data Gaji Pegawai'!E436),0))</f>
        <v>7500000</v>
      </c>
      <c r="H436">
        <f>I436/100000</f>
        <v>44</v>
      </c>
      <c r="I436" s="14">
        <v>4400000</v>
      </c>
      <c r="J436">
        <f ca="1">INT((TODAY()-F436)/30.417)</f>
        <v>24</v>
      </c>
      <c r="K436" s="13">
        <f t="shared" ca="1" si="6"/>
        <v>0</v>
      </c>
      <c r="L436" s="8">
        <f>G436*3.7%</f>
        <v>277500.00000000006</v>
      </c>
      <c r="M436" s="8">
        <f>G436*2%</f>
        <v>150000</v>
      </c>
      <c r="N436" s="8">
        <f>G436*4%</f>
        <v>300000</v>
      </c>
      <c r="O436" s="8">
        <f>G436*1%</f>
        <v>75000</v>
      </c>
      <c r="P436">
        <v>7</v>
      </c>
      <c r="Q436" s="13">
        <f>P436*200000</f>
        <v>1400000</v>
      </c>
      <c r="R436" s="8">
        <v>0</v>
      </c>
      <c r="S436" s="9">
        <f>8%*G436</f>
        <v>600000</v>
      </c>
    </row>
    <row r="437" spans="1:19" x14ac:dyDescent="0.3">
      <c r="A437">
        <v>435</v>
      </c>
      <c r="B437" s="10" t="s">
        <v>900</v>
      </c>
      <c r="C437" s="10" t="s">
        <v>692</v>
      </c>
      <c r="D437" s="11" t="str">
        <f>VLOOKUP(MID(B437,6,1),'Tabel Acuan'!$A$10:$B$17,2,0)</f>
        <v>Logistics</v>
      </c>
      <c r="E437" t="str">
        <f>VLOOKUP(MID(B437,8,2),'Tabel Acuan'!$A$1:$B$6,2,0)</f>
        <v>Assistant Manager</v>
      </c>
      <c r="F437" s="12">
        <v>44717</v>
      </c>
      <c r="G437" s="8" cm="1">
        <f t="array" ref="G437">INDEX('Tabel Acuan'!$F$4:$F$39,
MATCH(1,('Tabel Acuan'!$D$4:$D$39='Data Gaji Pegawai'!D437)*('Tabel Acuan'!$E$4:$E$39='Data Gaji Pegawai'!E437),0))</f>
        <v>9300000</v>
      </c>
      <c r="H437">
        <f>I437/100000</f>
        <v>19</v>
      </c>
      <c r="I437" s="14">
        <v>1900000</v>
      </c>
      <c r="J437">
        <f ca="1">INT((TODAY()-F437)/30.417)</f>
        <v>48</v>
      </c>
      <c r="K437" s="13">
        <f t="shared" ca="1" si="6"/>
        <v>0</v>
      </c>
      <c r="L437" s="8">
        <f>G437*3.7%</f>
        <v>344100.00000000006</v>
      </c>
      <c r="M437" s="8">
        <f>G437*2%</f>
        <v>186000</v>
      </c>
      <c r="N437" s="8">
        <f>G437*4%</f>
        <v>372000</v>
      </c>
      <c r="O437" s="8">
        <f>G437*1%</f>
        <v>93000</v>
      </c>
      <c r="P437">
        <v>8</v>
      </c>
      <c r="Q437" s="13">
        <f>P437*200000</f>
        <v>1600000</v>
      </c>
      <c r="R437" s="8">
        <v>4000000</v>
      </c>
      <c r="S437" s="9">
        <f>8%*G437</f>
        <v>744000</v>
      </c>
    </row>
    <row r="438" spans="1:19" x14ac:dyDescent="0.3">
      <c r="A438">
        <v>436</v>
      </c>
      <c r="B438" s="10" t="s">
        <v>901</v>
      </c>
      <c r="C438" s="10" t="s">
        <v>902</v>
      </c>
      <c r="D438" s="11" t="str">
        <f>VLOOKUP(MID(B438,6,1),'Tabel Acuan'!$A$10:$B$17,2,0)</f>
        <v>Human Resources (HR)</v>
      </c>
      <c r="E438" t="str">
        <f>VLOOKUP(MID(B438,8,2),'Tabel Acuan'!$A$1:$B$6,2,0)</f>
        <v>Manager</v>
      </c>
      <c r="F438" s="12">
        <v>45811</v>
      </c>
      <c r="G438" s="8" cm="1">
        <f t="array" ref="G438">INDEX('Tabel Acuan'!$F$4:$F$39,
MATCH(1,('Tabel Acuan'!$D$4:$D$39='Data Gaji Pegawai'!D438)*('Tabel Acuan'!$E$4:$E$39='Data Gaji Pegawai'!E438),0))</f>
        <v>12000000</v>
      </c>
      <c r="H438">
        <f>I438/100000</f>
        <v>47</v>
      </c>
      <c r="I438" s="14">
        <v>4700000</v>
      </c>
      <c r="J438">
        <f ca="1">INT((TODAY()-F438)/30.417)</f>
        <v>12</v>
      </c>
      <c r="K438" s="13">
        <f t="shared" ca="1" si="6"/>
        <v>0</v>
      </c>
      <c r="L438" s="8">
        <f>G438*3.7%</f>
        <v>444000.00000000006</v>
      </c>
      <c r="M438" s="8">
        <f>G438*2%</f>
        <v>240000</v>
      </c>
      <c r="N438" s="8">
        <f>G438*4%</f>
        <v>480000</v>
      </c>
      <c r="O438" s="8">
        <f>G438*1%</f>
        <v>120000</v>
      </c>
      <c r="P438">
        <v>14</v>
      </c>
      <c r="Q438" s="13">
        <f>P438*200000</f>
        <v>2800000</v>
      </c>
      <c r="R438" s="8">
        <v>1250000</v>
      </c>
      <c r="S438" s="9">
        <f>8%*G438</f>
        <v>960000</v>
      </c>
    </row>
    <row r="439" spans="1:19" x14ac:dyDescent="0.3">
      <c r="A439">
        <v>437</v>
      </c>
      <c r="B439" s="10" t="s">
        <v>903</v>
      </c>
      <c r="C439" s="10" t="s">
        <v>904</v>
      </c>
      <c r="D439" s="11" t="str">
        <f>VLOOKUP(MID(B439,6,1),'Tabel Acuan'!$A$10:$B$17,2,0)</f>
        <v>Sales</v>
      </c>
      <c r="E439" t="str">
        <f>VLOOKUP(MID(B439,8,2),'Tabel Acuan'!$A$1:$B$6,2,0)</f>
        <v>Senior Staff</v>
      </c>
      <c r="F439" s="12">
        <v>43562</v>
      </c>
      <c r="G439" s="8" cm="1">
        <f t="array" ref="G439">INDEX('Tabel Acuan'!$F$4:$F$39,
MATCH(1,('Tabel Acuan'!$D$4:$D$39='Data Gaji Pegawai'!D439)*('Tabel Acuan'!$E$4:$E$39='Data Gaji Pegawai'!E439),0))</f>
        <v>6000000</v>
      </c>
      <c r="H439">
        <f>I439/100000</f>
        <v>28</v>
      </c>
      <c r="I439" s="14">
        <v>2800000</v>
      </c>
      <c r="J439">
        <f ca="1">INT((TODAY()-F439)/30.417)</f>
        <v>86</v>
      </c>
      <c r="K439" s="13">
        <f t="shared" ca="1" si="6"/>
        <v>0</v>
      </c>
      <c r="L439" s="8">
        <f>G439*3.7%</f>
        <v>222000.00000000003</v>
      </c>
      <c r="M439" s="8">
        <f>G439*2%</f>
        <v>120000</v>
      </c>
      <c r="N439" s="8">
        <f>G439*4%</f>
        <v>240000</v>
      </c>
      <c r="O439" s="8">
        <f>G439*1%</f>
        <v>60000</v>
      </c>
      <c r="P439">
        <v>6</v>
      </c>
      <c r="Q439" s="13">
        <f>P439*200000</f>
        <v>1200000</v>
      </c>
      <c r="R439" s="8">
        <v>1500000</v>
      </c>
      <c r="S439" s="9">
        <f>8%*G439</f>
        <v>480000</v>
      </c>
    </row>
    <row r="440" spans="1:19" x14ac:dyDescent="0.3">
      <c r="A440">
        <v>438</v>
      </c>
      <c r="B440" s="10" t="s">
        <v>905</v>
      </c>
      <c r="C440" s="10" t="s">
        <v>906</v>
      </c>
      <c r="D440" s="11" t="str">
        <f>VLOOKUP(MID(B440,6,1),'Tabel Acuan'!$A$10:$B$17,2,0)</f>
        <v>Operations</v>
      </c>
      <c r="E440" t="str">
        <f>VLOOKUP(MID(B440,8,2),'Tabel Acuan'!$A$1:$B$6,2,0)</f>
        <v>Senior Staff</v>
      </c>
      <c r="F440" s="12">
        <v>44825</v>
      </c>
      <c r="G440" s="8" cm="1">
        <f t="array" ref="G440">INDEX('Tabel Acuan'!$F$4:$F$39,
MATCH(1,('Tabel Acuan'!$D$4:$D$39='Data Gaji Pegawai'!D440)*('Tabel Acuan'!$E$4:$E$39='Data Gaji Pegawai'!E440),0))</f>
        <v>6300000</v>
      </c>
      <c r="H440">
        <f>I440/100000</f>
        <v>50</v>
      </c>
      <c r="I440" s="14">
        <v>5000000</v>
      </c>
      <c r="J440">
        <f ca="1">INT((TODAY()-F440)/30.417)</f>
        <v>45</v>
      </c>
      <c r="K440" s="13">
        <f t="shared" ca="1" si="6"/>
        <v>0</v>
      </c>
      <c r="L440" s="8">
        <f>G440*3.7%</f>
        <v>233100.00000000003</v>
      </c>
      <c r="M440" s="8">
        <f>G440*2%</f>
        <v>126000</v>
      </c>
      <c r="N440" s="8">
        <f>G440*4%</f>
        <v>252000</v>
      </c>
      <c r="O440" s="8">
        <f>G440*1%</f>
        <v>63000</v>
      </c>
      <c r="P440">
        <v>5</v>
      </c>
      <c r="Q440" s="13">
        <f>P440*200000</f>
        <v>1000000</v>
      </c>
      <c r="R440" s="8">
        <v>0</v>
      </c>
      <c r="S440" s="9">
        <f>8%*G440</f>
        <v>504000</v>
      </c>
    </row>
    <row r="441" spans="1:19" x14ac:dyDescent="0.3">
      <c r="A441">
        <v>439</v>
      </c>
      <c r="B441" s="10" t="s">
        <v>907</v>
      </c>
      <c r="C441" s="10" t="s">
        <v>908</v>
      </c>
      <c r="D441" s="11" t="str">
        <f>VLOOKUP(MID(B441,6,1),'Tabel Acuan'!$A$10:$B$17,2,0)</f>
        <v>Information Technology (IT)</v>
      </c>
      <c r="E441" t="str">
        <f>VLOOKUP(MID(B441,8,2),'Tabel Acuan'!$A$1:$B$6,2,0)</f>
        <v>Staff</v>
      </c>
      <c r="F441" s="12">
        <v>44941</v>
      </c>
      <c r="G441" s="8" cm="1">
        <f t="array" ref="G441">INDEX('Tabel Acuan'!$F$4:$F$39,
MATCH(1,('Tabel Acuan'!$D$4:$D$39='Data Gaji Pegawai'!D441)*('Tabel Acuan'!$E$4:$E$39='Data Gaji Pegawai'!E441),0))</f>
        <v>6000000</v>
      </c>
      <c r="H441">
        <f>I441/100000</f>
        <v>11</v>
      </c>
      <c r="I441" s="14">
        <v>1100000</v>
      </c>
      <c r="J441">
        <f ca="1">INT((TODAY()-F441)/30.417)</f>
        <v>41</v>
      </c>
      <c r="K441" s="13">
        <f t="shared" ca="1" si="6"/>
        <v>0</v>
      </c>
      <c r="L441" s="8">
        <f>G441*3.7%</f>
        <v>222000.00000000003</v>
      </c>
      <c r="M441" s="8">
        <f>G441*2%</f>
        <v>120000</v>
      </c>
      <c r="N441" s="8">
        <f>G441*4%</f>
        <v>240000</v>
      </c>
      <c r="O441" s="8">
        <f>G441*1%</f>
        <v>60000</v>
      </c>
      <c r="P441">
        <v>6</v>
      </c>
      <c r="Q441" s="13">
        <f>P441*200000</f>
        <v>1200000</v>
      </c>
      <c r="R441" s="8">
        <v>750000</v>
      </c>
      <c r="S441" s="9">
        <f>8%*G441</f>
        <v>480000</v>
      </c>
    </row>
    <row r="442" spans="1:19" x14ac:dyDescent="0.3">
      <c r="A442">
        <v>440</v>
      </c>
      <c r="B442" s="10" t="s">
        <v>909</v>
      </c>
      <c r="C442" s="10" t="s">
        <v>910</v>
      </c>
      <c r="D442" s="11" t="str">
        <f>VLOOKUP(MID(B442,6,1),'Tabel Acuan'!$A$10:$B$17,2,0)</f>
        <v>Finance</v>
      </c>
      <c r="E442" t="str">
        <f>VLOOKUP(MID(B442,8,2),'Tabel Acuan'!$A$1:$B$6,2,0)</f>
        <v>Staff</v>
      </c>
      <c r="F442" s="12">
        <v>42365</v>
      </c>
      <c r="G442" s="8" cm="1">
        <f t="array" ref="G442">INDEX('Tabel Acuan'!$F$4:$F$39,
MATCH(1,('Tabel Acuan'!$D$4:$D$39='Data Gaji Pegawai'!D442)*('Tabel Acuan'!$E$4:$E$39='Data Gaji Pegawai'!E442),0))</f>
        <v>5500000</v>
      </c>
      <c r="H442">
        <f>I442/100000</f>
        <v>12</v>
      </c>
      <c r="I442" s="14">
        <v>1200000</v>
      </c>
      <c r="J442">
        <f ca="1">INT((TODAY()-F442)/30.417)</f>
        <v>126</v>
      </c>
      <c r="K442" s="13">
        <f t="shared" ca="1" si="6"/>
        <v>0</v>
      </c>
      <c r="L442" s="8">
        <f>G442*3.7%</f>
        <v>203500.00000000003</v>
      </c>
      <c r="M442" s="8">
        <f>G442*2%</f>
        <v>110000</v>
      </c>
      <c r="N442" s="8">
        <f>G442*4%</f>
        <v>220000</v>
      </c>
      <c r="O442" s="8">
        <f>G442*1%</f>
        <v>55000</v>
      </c>
      <c r="P442">
        <v>8</v>
      </c>
      <c r="Q442" s="13">
        <f>P442*200000</f>
        <v>1600000</v>
      </c>
      <c r="R442" s="8">
        <v>2000000</v>
      </c>
      <c r="S442" s="9">
        <f>8%*G442</f>
        <v>440000</v>
      </c>
    </row>
    <row r="443" spans="1:19" x14ac:dyDescent="0.3">
      <c r="A443">
        <v>441</v>
      </c>
      <c r="B443" s="10" t="s">
        <v>911</v>
      </c>
      <c r="C443" s="10" t="s">
        <v>912</v>
      </c>
      <c r="D443" s="11" t="str">
        <f>VLOOKUP(MID(B443,6,1),'Tabel Acuan'!$A$10:$B$17,2,0)</f>
        <v>Information Technology (IT)</v>
      </c>
      <c r="E443" t="str">
        <f>VLOOKUP(MID(B443,8,2),'Tabel Acuan'!$A$1:$B$6,2,0)</f>
        <v>Senior Staff</v>
      </c>
      <c r="F443" s="12">
        <v>44942</v>
      </c>
      <c r="G443" s="8" cm="1">
        <f t="array" ref="G443">INDEX('Tabel Acuan'!$F$4:$F$39,
MATCH(1,('Tabel Acuan'!$D$4:$D$39='Data Gaji Pegawai'!D443)*('Tabel Acuan'!$E$4:$E$39='Data Gaji Pegawai'!E443),0))</f>
        <v>7500000</v>
      </c>
      <c r="H443">
        <f>I443/100000</f>
        <v>15</v>
      </c>
      <c r="I443" s="14">
        <v>1500000</v>
      </c>
      <c r="J443">
        <f ca="1">INT((TODAY()-F443)/30.417)</f>
        <v>41</v>
      </c>
      <c r="K443" s="13">
        <f t="shared" ca="1" si="6"/>
        <v>0</v>
      </c>
      <c r="L443" s="8">
        <f>G443*3.7%</f>
        <v>277500.00000000006</v>
      </c>
      <c r="M443" s="8">
        <f>G443*2%</f>
        <v>150000</v>
      </c>
      <c r="N443" s="8">
        <f>G443*4%</f>
        <v>300000</v>
      </c>
      <c r="O443" s="8">
        <f>G443*1%</f>
        <v>75000</v>
      </c>
      <c r="P443">
        <v>11</v>
      </c>
      <c r="Q443" s="13">
        <f>P443*200000</f>
        <v>2200000</v>
      </c>
      <c r="R443" s="8">
        <v>2000000</v>
      </c>
      <c r="S443" s="9">
        <f>8%*G443</f>
        <v>600000</v>
      </c>
    </row>
    <row r="444" spans="1:19" x14ac:dyDescent="0.3">
      <c r="A444">
        <v>442</v>
      </c>
      <c r="B444" s="10" t="s">
        <v>913</v>
      </c>
      <c r="C444" s="10" t="s">
        <v>914</v>
      </c>
      <c r="D444" s="11" t="str">
        <f>VLOOKUP(MID(B444,6,1),'Tabel Acuan'!$A$10:$B$17,2,0)</f>
        <v>Operations</v>
      </c>
      <c r="E444" t="str">
        <f>VLOOKUP(MID(B444,8,2),'Tabel Acuan'!$A$1:$B$6,2,0)</f>
        <v>Senior Staff</v>
      </c>
      <c r="F444" s="12">
        <v>42912</v>
      </c>
      <c r="G444" s="8" cm="1">
        <f t="array" ref="G444">INDEX('Tabel Acuan'!$F$4:$F$39,
MATCH(1,('Tabel Acuan'!$D$4:$D$39='Data Gaji Pegawai'!D444)*('Tabel Acuan'!$E$4:$E$39='Data Gaji Pegawai'!E444),0))</f>
        <v>6300000</v>
      </c>
      <c r="H444">
        <f>I444/100000</f>
        <v>10</v>
      </c>
      <c r="I444" s="14">
        <v>1000000</v>
      </c>
      <c r="J444">
        <f ca="1">INT((TODAY()-F444)/30.417)</f>
        <v>108</v>
      </c>
      <c r="K444" s="13">
        <f t="shared" ca="1" si="6"/>
        <v>0</v>
      </c>
      <c r="L444" s="8">
        <f>G444*3.7%</f>
        <v>233100.00000000003</v>
      </c>
      <c r="M444" s="8">
        <f>G444*2%</f>
        <v>126000</v>
      </c>
      <c r="N444" s="8">
        <f>G444*4%</f>
        <v>252000</v>
      </c>
      <c r="O444" s="8">
        <f>G444*1%</f>
        <v>63000</v>
      </c>
      <c r="P444">
        <v>8</v>
      </c>
      <c r="Q444" s="13">
        <f>P444*200000</f>
        <v>1600000</v>
      </c>
      <c r="R444" s="8">
        <v>4000000</v>
      </c>
      <c r="S444" s="9">
        <f>8%*G444</f>
        <v>504000</v>
      </c>
    </row>
    <row r="445" spans="1:19" x14ac:dyDescent="0.3">
      <c r="A445">
        <v>443</v>
      </c>
      <c r="B445" s="10" t="s">
        <v>915</v>
      </c>
      <c r="C445" s="10" t="s">
        <v>916</v>
      </c>
      <c r="D445" s="11" t="str">
        <f>VLOOKUP(MID(B445,6,1),'Tabel Acuan'!$A$10:$B$17,2,0)</f>
        <v>Logistics</v>
      </c>
      <c r="E445" t="str">
        <f>VLOOKUP(MID(B445,8,2),'Tabel Acuan'!$A$1:$B$6,2,0)</f>
        <v>Staff</v>
      </c>
      <c r="F445" s="12">
        <v>42662</v>
      </c>
      <c r="G445" s="8" cm="1">
        <f t="array" ref="G445">INDEX('Tabel Acuan'!$F$4:$F$39,
MATCH(1,('Tabel Acuan'!$D$4:$D$39='Data Gaji Pegawai'!D445)*('Tabel Acuan'!$E$4:$E$39='Data Gaji Pegawai'!E445),0))</f>
        <v>5200000</v>
      </c>
      <c r="H445">
        <f>I445/100000</f>
        <v>49</v>
      </c>
      <c r="I445" s="14">
        <v>4900000</v>
      </c>
      <c r="J445">
        <f ca="1">INT((TODAY()-F445)/30.417)</f>
        <v>116</v>
      </c>
      <c r="K445" s="13">
        <f t="shared" ca="1" si="6"/>
        <v>0</v>
      </c>
      <c r="L445" s="8">
        <f>G445*3.7%</f>
        <v>192400.00000000003</v>
      </c>
      <c r="M445" s="8">
        <f>G445*2%</f>
        <v>104000</v>
      </c>
      <c r="N445" s="8">
        <f>G445*4%</f>
        <v>208000</v>
      </c>
      <c r="O445" s="8">
        <f>G445*1%</f>
        <v>52000</v>
      </c>
      <c r="P445">
        <v>6</v>
      </c>
      <c r="Q445" s="13">
        <f>P445*200000</f>
        <v>1200000</v>
      </c>
      <c r="R445" s="8">
        <v>3500000</v>
      </c>
      <c r="S445" s="9">
        <f>8%*G445</f>
        <v>416000</v>
      </c>
    </row>
    <row r="446" spans="1:19" x14ac:dyDescent="0.3">
      <c r="A446">
        <v>444</v>
      </c>
      <c r="B446" s="10" t="s">
        <v>917</v>
      </c>
      <c r="C446" s="10" t="s">
        <v>918</v>
      </c>
      <c r="D446" s="11" t="str">
        <f>VLOOKUP(MID(B446,6,1),'Tabel Acuan'!$A$10:$B$17,2,0)</f>
        <v>Sales</v>
      </c>
      <c r="E446" t="str">
        <f>VLOOKUP(MID(B446,8,2),'Tabel Acuan'!$A$1:$B$6,2,0)</f>
        <v>Staff</v>
      </c>
      <c r="F446" s="12">
        <v>43363</v>
      </c>
      <c r="G446" s="8" cm="1">
        <f t="array" ref="G446">INDEX('Tabel Acuan'!$F$4:$F$39,
MATCH(1,('Tabel Acuan'!$D$4:$D$39='Data Gaji Pegawai'!D446)*('Tabel Acuan'!$E$4:$E$39='Data Gaji Pegawai'!E446),0))</f>
        <v>5000000</v>
      </c>
      <c r="H446">
        <f>I446/100000</f>
        <v>1</v>
      </c>
      <c r="I446" s="14">
        <v>100000</v>
      </c>
      <c r="J446">
        <f ca="1">INT((TODAY()-F446)/30.417)</f>
        <v>93</v>
      </c>
      <c r="K446" s="13">
        <f t="shared" ca="1" si="6"/>
        <v>0</v>
      </c>
      <c r="L446" s="8">
        <f>G446*3.7%</f>
        <v>185000.00000000003</v>
      </c>
      <c r="M446" s="8">
        <f>G446*2%</f>
        <v>100000</v>
      </c>
      <c r="N446" s="8">
        <f>G446*4%</f>
        <v>200000</v>
      </c>
      <c r="O446" s="8">
        <f>G446*1%</f>
        <v>50000</v>
      </c>
      <c r="P446">
        <v>0</v>
      </c>
      <c r="Q446" s="13">
        <f>P446*200000</f>
        <v>0</v>
      </c>
      <c r="R446" s="8">
        <v>500000</v>
      </c>
      <c r="S446" s="9">
        <f>8%*G446</f>
        <v>400000</v>
      </c>
    </row>
    <row r="447" spans="1:19" x14ac:dyDescent="0.3">
      <c r="A447">
        <v>445</v>
      </c>
      <c r="B447" s="10" t="s">
        <v>919</v>
      </c>
      <c r="C447" s="10" t="s">
        <v>920</v>
      </c>
      <c r="D447" s="11" t="str">
        <f>VLOOKUP(MID(B447,6,1),'Tabel Acuan'!$A$10:$B$17,2,0)</f>
        <v>Finance</v>
      </c>
      <c r="E447" t="str">
        <f>VLOOKUP(MID(B447,8,2),'Tabel Acuan'!$A$1:$B$6,2,0)</f>
        <v>Senior Staff</v>
      </c>
      <c r="F447" s="12">
        <v>45787</v>
      </c>
      <c r="G447" s="8" cm="1">
        <f t="array" ref="G447">INDEX('Tabel Acuan'!$F$4:$F$39,
MATCH(1,('Tabel Acuan'!$D$4:$D$39='Data Gaji Pegawai'!D447)*('Tabel Acuan'!$E$4:$E$39='Data Gaji Pegawai'!E447),0))</f>
        <v>6600000</v>
      </c>
      <c r="H447">
        <f>I447/100000</f>
        <v>38</v>
      </c>
      <c r="I447" s="14">
        <v>3800000</v>
      </c>
      <c r="J447">
        <f ca="1">INT((TODAY()-F447)/30.417)</f>
        <v>13</v>
      </c>
      <c r="K447" s="13">
        <f t="shared" ca="1" si="6"/>
        <v>0</v>
      </c>
      <c r="L447" s="8">
        <f>G447*3.7%</f>
        <v>244200.00000000003</v>
      </c>
      <c r="M447" s="8">
        <f>G447*2%</f>
        <v>132000</v>
      </c>
      <c r="N447" s="8">
        <f>G447*4%</f>
        <v>264000</v>
      </c>
      <c r="O447" s="8">
        <f>G447*1%</f>
        <v>66000</v>
      </c>
      <c r="P447">
        <v>9</v>
      </c>
      <c r="Q447" s="13">
        <f>P447*200000</f>
        <v>1800000</v>
      </c>
      <c r="R447" s="8">
        <v>4000000</v>
      </c>
      <c r="S447" s="9">
        <f>8%*G447</f>
        <v>528000</v>
      </c>
    </row>
    <row r="448" spans="1:19" x14ac:dyDescent="0.3">
      <c r="A448">
        <v>446</v>
      </c>
      <c r="B448" s="10" t="s">
        <v>921</v>
      </c>
      <c r="C448" s="10" t="s">
        <v>922</v>
      </c>
      <c r="D448" s="11" t="str">
        <f>VLOOKUP(MID(B448,6,1),'Tabel Acuan'!$A$10:$B$17,2,0)</f>
        <v>Logistics</v>
      </c>
      <c r="E448" t="str">
        <f>VLOOKUP(MID(B448,8,2),'Tabel Acuan'!$A$1:$B$6,2,0)</f>
        <v>Senior Staff</v>
      </c>
      <c r="F448" s="12">
        <v>45893</v>
      </c>
      <c r="G448" s="8" cm="1">
        <f t="array" ref="G448">INDEX('Tabel Acuan'!$F$4:$F$39,
MATCH(1,('Tabel Acuan'!$D$4:$D$39='Data Gaji Pegawai'!D448)*('Tabel Acuan'!$E$4:$E$39='Data Gaji Pegawai'!E448),0))</f>
        <v>6250000</v>
      </c>
      <c r="H448">
        <f>I448/100000</f>
        <v>16</v>
      </c>
      <c r="I448" s="14">
        <v>1600000</v>
      </c>
      <c r="J448">
        <f ca="1">INT((TODAY()-F448)/30.417)</f>
        <v>10</v>
      </c>
      <c r="K448" s="13">
        <f t="shared" ca="1" si="6"/>
        <v>0</v>
      </c>
      <c r="L448" s="8">
        <f>G448*3.7%</f>
        <v>231250.00000000003</v>
      </c>
      <c r="M448" s="8">
        <f>G448*2%</f>
        <v>125000</v>
      </c>
      <c r="N448" s="8">
        <f>G448*4%</f>
        <v>250000</v>
      </c>
      <c r="O448" s="8">
        <f>G448*1%</f>
        <v>62500</v>
      </c>
      <c r="P448">
        <v>6</v>
      </c>
      <c r="Q448" s="13">
        <f>P448*200000</f>
        <v>1200000</v>
      </c>
      <c r="R448" s="8">
        <v>3500000</v>
      </c>
      <c r="S448" s="9">
        <f>8%*G448</f>
        <v>500000</v>
      </c>
    </row>
    <row r="449" spans="1:19" x14ac:dyDescent="0.3">
      <c r="A449">
        <v>447</v>
      </c>
      <c r="B449" s="10" t="s">
        <v>923</v>
      </c>
      <c r="C449" s="10" t="s">
        <v>924</v>
      </c>
      <c r="D449" s="11" t="str">
        <f>VLOOKUP(MID(B449,6,1),'Tabel Acuan'!$A$10:$B$17,2,0)</f>
        <v>Operations</v>
      </c>
      <c r="E449" t="str">
        <f>VLOOKUP(MID(B449,8,2),'Tabel Acuan'!$A$1:$B$6,2,0)</f>
        <v>Senior Staff</v>
      </c>
      <c r="F449" s="12">
        <v>44930</v>
      </c>
      <c r="G449" s="8" cm="1">
        <f t="array" ref="G449">INDEX('Tabel Acuan'!$F$4:$F$39,
MATCH(1,('Tabel Acuan'!$D$4:$D$39='Data Gaji Pegawai'!D449)*('Tabel Acuan'!$E$4:$E$39='Data Gaji Pegawai'!E449),0))</f>
        <v>6300000</v>
      </c>
      <c r="H449">
        <f>I449/100000</f>
        <v>32</v>
      </c>
      <c r="I449" s="14">
        <v>3200000</v>
      </c>
      <c r="J449">
        <f ca="1">INT((TODAY()-F449)/30.417)</f>
        <v>41</v>
      </c>
      <c r="K449" s="13">
        <f t="shared" ca="1" si="6"/>
        <v>0</v>
      </c>
      <c r="L449" s="8">
        <f>G449*3.7%</f>
        <v>233100.00000000003</v>
      </c>
      <c r="M449" s="8">
        <f>G449*2%</f>
        <v>126000</v>
      </c>
      <c r="N449" s="8">
        <f>G449*4%</f>
        <v>252000</v>
      </c>
      <c r="O449" s="8">
        <f>G449*1%</f>
        <v>63000</v>
      </c>
      <c r="P449">
        <v>11</v>
      </c>
      <c r="Q449" s="13">
        <f>P449*200000</f>
        <v>2200000</v>
      </c>
      <c r="R449" s="8">
        <v>3000000</v>
      </c>
      <c r="S449" s="9">
        <f>8%*G449</f>
        <v>504000</v>
      </c>
    </row>
    <row r="450" spans="1:19" x14ac:dyDescent="0.3">
      <c r="A450">
        <v>448</v>
      </c>
      <c r="B450" s="10" t="s">
        <v>925</v>
      </c>
      <c r="C450" s="10" t="s">
        <v>926</v>
      </c>
      <c r="D450" s="11" t="str">
        <f>VLOOKUP(MID(B450,6,1),'Tabel Acuan'!$A$10:$B$17,2,0)</f>
        <v>Logistics</v>
      </c>
      <c r="E450" t="str">
        <f>VLOOKUP(MID(B450,8,2),'Tabel Acuan'!$A$1:$B$6,2,0)</f>
        <v>Staff</v>
      </c>
      <c r="F450" s="12">
        <v>45324</v>
      </c>
      <c r="G450" s="8" cm="1">
        <f t="array" ref="G450">INDEX('Tabel Acuan'!$F$4:$F$39,
MATCH(1,('Tabel Acuan'!$D$4:$D$39='Data Gaji Pegawai'!D450)*('Tabel Acuan'!$E$4:$E$39='Data Gaji Pegawai'!E450),0))</f>
        <v>5200000</v>
      </c>
      <c r="H450">
        <f>I450/100000</f>
        <v>21</v>
      </c>
      <c r="I450" s="14">
        <v>2100000</v>
      </c>
      <c r="J450">
        <f ca="1">INT((TODAY()-F450)/30.417)</f>
        <v>28</v>
      </c>
      <c r="K450" s="13">
        <f t="shared" ca="1" si="6"/>
        <v>0</v>
      </c>
      <c r="L450" s="8">
        <f>G450*3.7%</f>
        <v>192400.00000000003</v>
      </c>
      <c r="M450" s="8">
        <f>G450*2%</f>
        <v>104000</v>
      </c>
      <c r="N450" s="8">
        <f>G450*4%</f>
        <v>208000</v>
      </c>
      <c r="O450" s="8">
        <f>G450*1%</f>
        <v>52000</v>
      </c>
      <c r="P450">
        <v>8</v>
      </c>
      <c r="Q450" s="13">
        <f>P450*200000</f>
        <v>1600000</v>
      </c>
      <c r="R450" s="8">
        <v>1000000</v>
      </c>
      <c r="S450" s="9">
        <f>8%*G450</f>
        <v>416000</v>
      </c>
    </row>
    <row r="451" spans="1:19" x14ac:dyDescent="0.3">
      <c r="A451">
        <v>449</v>
      </c>
      <c r="B451" s="10" t="s">
        <v>927</v>
      </c>
      <c r="C451" s="10" t="s">
        <v>928</v>
      </c>
      <c r="D451" s="11" t="str">
        <f>VLOOKUP(MID(B451,6,1),'Tabel Acuan'!$A$10:$B$17,2,0)</f>
        <v>Sales</v>
      </c>
      <c r="E451" t="str">
        <f>VLOOKUP(MID(B451,8,2),'Tabel Acuan'!$A$1:$B$6,2,0)</f>
        <v>Supervisor</v>
      </c>
      <c r="F451" s="12">
        <v>43562</v>
      </c>
      <c r="G451" s="8" cm="1">
        <f t="array" ref="G451">INDEX('Tabel Acuan'!$F$4:$F$39,
MATCH(1,('Tabel Acuan'!$D$4:$D$39='Data Gaji Pegawai'!D451)*('Tabel Acuan'!$E$4:$E$39='Data Gaji Pegawai'!E451),0))</f>
        <v>7500000</v>
      </c>
      <c r="H451">
        <f>I451/100000</f>
        <v>9</v>
      </c>
      <c r="I451" s="14">
        <v>900000</v>
      </c>
      <c r="J451">
        <f ca="1">INT((TODAY()-F451)/30.417)</f>
        <v>86</v>
      </c>
      <c r="K451" s="13">
        <f t="shared" ca="1" si="6"/>
        <v>0</v>
      </c>
      <c r="L451" s="8">
        <f>G451*3.7%</f>
        <v>277500.00000000006</v>
      </c>
      <c r="M451" s="8">
        <f>G451*2%</f>
        <v>150000</v>
      </c>
      <c r="N451" s="8">
        <f>G451*4%</f>
        <v>300000</v>
      </c>
      <c r="O451" s="8">
        <f>G451*1%</f>
        <v>75000</v>
      </c>
      <c r="P451">
        <v>7</v>
      </c>
      <c r="Q451" s="13">
        <f>P451*200000</f>
        <v>1400000</v>
      </c>
      <c r="R451" s="8">
        <v>5000000</v>
      </c>
      <c r="S451" s="9">
        <f>8%*G451</f>
        <v>600000</v>
      </c>
    </row>
    <row r="452" spans="1:19" x14ac:dyDescent="0.3">
      <c r="A452">
        <v>450</v>
      </c>
      <c r="B452" s="10" t="s">
        <v>929</v>
      </c>
      <c r="C452" s="10" t="s">
        <v>930</v>
      </c>
      <c r="D452" s="11" t="str">
        <f>VLOOKUP(MID(B452,6,1),'Tabel Acuan'!$A$10:$B$17,2,0)</f>
        <v>Information Technology (IT)</v>
      </c>
      <c r="E452" t="str">
        <f>VLOOKUP(MID(B452,8,2),'Tabel Acuan'!$A$1:$B$6,2,0)</f>
        <v>Senior Staff</v>
      </c>
      <c r="F452" s="12">
        <v>45305</v>
      </c>
      <c r="G452" s="8" cm="1">
        <f t="array" ref="G452">INDEX('Tabel Acuan'!$F$4:$F$39,
MATCH(1,('Tabel Acuan'!$D$4:$D$39='Data Gaji Pegawai'!D452)*('Tabel Acuan'!$E$4:$E$39='Data Gaji Pegawai'!E452),0))</f>
        <v>7500000</v>
      </c>
      <c r="H452">
        <f>I452/100000</f>
        <v>41</v>
      </c>
      <c r="I452" s="14">
        <v>4100000</v>
      </c>
      <c r="J452">
        <f ca="1">INT((TODAY()-F452)/30.417)</f>
        <v>29</v>
      </c>
      <c r="K452" s="13">
        <f t="shared" ref="K452:K515" ca="1" si="7">IF(MONTH(TODAY())=12, IF(J452&gt;=12,G452,G452*(J452/12)), 0)</f>
        <v>0</v>
      </c>
      <c r="L452" s="8">
        <f>G452*3.7%</f>
        <v>277500.00000000006</v>
      </c>
      <c r="M452" s="8">
        <f>G452*2%</f>
        <v>150000</v>
      </c>
      <c r="N452" s="8">
        <f>G452*4%</f>
        <v>300000</v>
      </c>
      <c r="O452" s="8">
        <f>G452*1%</f>
        <v>75000</v>
      </c>
      <c r="P452">
        <v>15</v>
      </c>
      <c r="Q452" s="13">
        <f>P452*200000</f>
        <v>3000000</v>
      </c>
      <c r="R452" s="8">
        <v>1000000</v>
      </c>
      <c r="S452" s="9">
        <f>8%*G452</f>
        <v>600000</v>
      </c>
    </row>
    <row r="453" spans="1:19" x14ac:dyDescent="0.3">
      <c r="A453">
        <v>451</v>
      </c>
      <c r="B453" s="10" t="s">
        <v>931</v>
      </c>
      <c r="C453" s="10" t="s">
        <v>932</v>
      </c>
      <c r="D453" s="11" t="str">
        <f>VLOOKUP(MID(B453,6,1),'Tabel Acuan'!$A$10:$B$17,2,0)</f>
        <v>Information Technology (IT)</v>
      </c>
      <c r="E453" t="str">
        <f>VLOOKUP(MID(B453,8,2),'Tabel Acuan'!$A$1:$B$6,2,0)</f>
        <v>Staff</v>
      </c>
      <c r="F453" s="12">
        <v>44559</v>
      </c>
      <c r="G453" s="8" cm="1">
        <f t="array" ref="G453">INDEX('Tabel Acuan'!$F$4:$F$39,
MATCH(1,('Tabel Acuan'!$D$4:$D$39='Data Gaji Pegawai'!D453)*('Tabel Acuan'!$E$4:$E$39='Data Gaji Pegawai'!E453),0))</f>
        <v>6000000</v>
      </c>
      <c r="H453">
        <f>I453/100000</f>
        <v>36</v>
      </c>
      <c r="I453" s="14">
        <v>3600000</v>
      </c>
      <c r="J453">
        <f ca="1">INT((TODAY()-F453)/30.417)</f>
        <v>54</v>
      </c>
      <c r="K453" s="13">
        <f t="shared" ca="1" si="7"/>
        <v>0</v>
      </c>
      <c r="L453" s="8">
        <f>G453*3.7%</f>
        <v>222000.00000000003</v>
      </c>
      <c r="M453" s="8">
        <f>G453*2%</f>
        <v>120000</v>
      </c>
      <c r="N453" s="8">
        <f>G453*4%</f>
        <v>240000</v>
      </c>
      <c r="O453" s="8">
        <f>G453*1%</f>
        <v>60000</v>
      </c>
      <c r="P453">
        <v>6</v>
      </c>
      <c r="Q453" s="13">
        <f>P453*200000</f>
        <v>1200000</v>
      </c>
      <c r="R453" s="8">
        <v>0</v>
      </c>
      <c r="S453" s="9">
        <f>8%*G453</f>
        <v>480000</v>
      </c>
    </row>
    <row r="454" spans="1:19" x14ac:dyDescent="0.3">
      <c r="A454">
        <v>452</v>
      </c>
      <c r="B454" s="10" t="s">
        <v>933</v>
      </c>
      <c r="C454" s="10" t="s">
        <v>934</v>
      </c>
      <c r="D454" s="11" t="str">
        <f>VLOOKUP(MID(B454,6,1),'Tabel Acuan'!$A$10:$B$17,2,0)</f>
        <v>Sales</v>
      </c>
      <c r="E454" t="str">
        <f>VLOOKUP(MID(B454,8,2),'Tabel Acuan'!$A$1:$B$6,2,0)</f>
        <v>Senior Staff</v>
      </c>
      <c r="F454" s="12">
        <v>43284</v>
      </c>
      <c r="G454" s="8" cm="1">
        <f t="array" ref="G454">INDEX('Tabel Acuan'!$F$4:$F$39,
MATCH(1,('Tabel Acuan'!$D$4:$D$39='Data Gaji Pegawai'!D454)*('Tabel Acuan'!$E$4:$E$39='Data Gaji Pegawai'!E454),0))</f>
        <v>6000000</v>
      </c>
      <c r="H454">
        <f>I454/100000</f>
        <v>32</v>
      </c>
      <c r="I454" s="14">
        <v>3200000</v>
      </c>
      <c r="J454">
        <f ca="1">INT((TODAY()-F454)/30.417)</f>
        <v>96</v>
      </c>
      <c r="K454" s="13">
        <f t="shared" ca="1" si="7"/>
        <v>0</v>
      </c>
      <c r="L454" s="8">
        <f>G454*3.7%</f>
        <v>222000.00000000003</v>
      </c>
      <c r="M454" s="8">
        <f>G454*2%</f>
        <v>120000</v>
      </c>
      <c r="N454" s="8">
        <f>G454*4%</f>
        <v>240000</v>
      </c>
      <c r="O454" s="8">
        <f>G454*1%</f>
        <v>60000</v>
      </c>
      <c r="P454">
        <v>9</v>
      </c>
      <c r="Q454" s="13">
        <f>P454*200000</f>
        <v>1800000</v>
      </c>
      <c r="R454" s="8">
        <v>3500000</v>
      </c>
      <c r="S454" s="9">
        <f>8%*G454</f>
        <v>480000</v>
      </c>
    </row>
    <row r="455" spans="1:19" x14ac:dyDescent="0.3">
      <c r="A455">
        <v>453</v>
      </c>
      <c r="B455" s="10" t="s">
        <v>935</v>
      </c>
      <c r="C455" s="10" t="s">
        <v>936</v>
      </c>
      <c r="D455" s="11" t="str">
        <f>VLOOKUP(MID(B455,6,1),'Tabel Acuan'!$A$10:$B$17,2,0)</f>
        <v>Finance</v>
      </c>
      <c r="E455" t="str">
        <f>VLOOKUP(MID(B455,8,2),'Tabel Acuan'!$A$1:$B$6,2,0)</f>
        <v>Staff</v>
      </c>
      <c r="F455" s="12">
        <v>45059</v>
      </c>
      <c r="G455" s="8" cm="1">
        <f t="array" ref="G455">INDEX('Tabel Acuan'!$F$4:$F$39,
MATCH(1,('Tabel Acuan'!$D$4:$D$39='Data Gaji Pegawai'!D455)*('Tabel Acuan'!$E$4:$E$39='Data Gaji Pegawai'!E455),0))</f>
        <v>5500000</v>
      </c>
      <c r="H455">
        <f>I455/100000</f>
        <v>46</v>
      </c>
      <c r="I455" s="14">
        <v>4600000</v>
      </c>
      <c r="J455">
        <f ca="1">INT((TODAY()-F455)/30.417)</f>
        <v>37</v>
      </c>
      <c r="K455" s="13">
        <f t="shared" ca="1" si="7"/>
        <v>0</v>
      </c>
      <c r="L455" s="8">
        <f>G455*3.7%</f>
        <v>203500.00000000003</v>
      </c>
      <c r="M455" s="8">
        <f>G455*2%</f>
        <v>110000</v>
      </c>
      <c r="N455" s="8">
        <f>G455*4%</f>
        <v>220000</v>
      </c>
      <c r="O455" s="8">
        <f>G455*1%</f>
        <v>55000</v>
      </c>
      <c r="P455">
        <v>5</v>
      </c>
      <c r="Q455" s="13">
        <f>P455*200000</f>
        <v>1000000</v>
      </c>
      <c r="R455" s="8">
        <v>1250000</v>
      </c>
      <c r="S455" s="9">
        <f>8%*G455</f>
        <v>440000</v>
      </c>
    </row>
    <row r="456" spans="1:19" x14ac:dyDescent="0.3">
      <c r="A456">
        <v>454</v>
      </c>
      <c r="B456" s="10" t="s">
        <v>937</v>
      </c>
      <c r="C456" s="10" t="s">
        <v>938</v>
      </c>
      <c r="D456" s="11" t="str">
        <f>VLOOKUP(MID(B456,6,1),'Tabel Acuan'!$A$10:$B$17,2,0)</f>
        <v>Human Resources (HR)</v>
      </c>
      <c r="E456" t="str">
        <f>VLOOKUP(MID(B456,8,2),'Tabel Acuan'!$A$1:$B$6,2,0)</f>
        <v>Staff</v>
      </c>
      <c r="F456" s="12">
        <v>45815</v>
      </c>
      <c r="G456" s="8" cm="1">
        <f t="array" ref="G456">INDEX('Tabel Acuan'!$F$4:$F$39,
MATCH(1,('Tabel Acuan'!$D$4:$D$39='Data Gaji Pegawai'!D456)*('Tabel Acuan'!$E$4:$E$39='Data Gaji Pegawai'!E456),0))</f>
        <v>5000000</v>
      </c>
      <c r="H456">
        <f>I456/100000</f>
        <v>26</v>
      </c>
      <c r="I456" s="14">
        <v>2600000</v>
      </c>
      <c r="J456">
        <f ca="1">INT((TODAY()-F456)/30.417)</f>
        <v>12</v>
      </c>
      <c r="K456" s="13">
        <f t="shared" ca="1" si="7"/>
        <v>0</v>
      </c>
      <c r="L456" s="8">
        <f>G456*3.7%</f>
        <v>185000.00000000003</v>
      </c>
      <c r="M456" s="8">
        <f>G456*2%</f>
        <v>100000</v>
      </c>
      <c r="N456" s="8">
        <f>G456*4%</f>
        <v>200000</v>
      </c>
      <c r="O456" s="8">
        <f>G456*1%</f>
        <v>50000</v>
      </c>
      <c r="P456">
        <v>10</v>
      </c>
      <c r="Q456" s="13">
        <f>P456*200000</f>
        <v>2000000</v>
      </c>
      <c r="R456" s="8">
        <v>3000000</v>
      </c>
      <c r="S456" s="9">
        <f>8%*G456</f>
        <v>400000</v>
      </c>
    </row>
    <row r="457" spans="1:19" x14ac:dyDescent="0.3">
      <c r="A457">
        <v>455</v>
      </c>
      <c r="B457" s="10" t="s">
        <v>939</v>
      </c>
      <c r="C457" s="10" t="s">
        <v>940</v>
      </c>
      <c r="D457" s="11" t="str">
        <f>VLOOKUP(MID(B457,6,1),'Tabel Acuan'!$A$10:$B$17,2,0)</f>
        <v>Information Technology (IT)</v>
      </c>
      <c r="E457" t="str">
        <f>VLOOKUP(MID(B457,8,2),'Tabel Acuan'!$A$1:$B$6,2,0)</f>
        <v>Assistant Manager</v>
      </c>
      <c r="F457" s="12">
        <v>43790</v>
      </c>
      <c r="G457" s="8" cm="1">
        <f t="array" ref="G457">INDEX('Tabel Acuan'!$F$4:$F$39,
MATCH(1,('Tabel Acuan'!$D$4:$D$39='Data Gaji Pegawai'!D457)*('Tabel Acuan'!$E$4:$E$39='Data Gaji Pegawai'!E457),0))</f>
        <v>11500000</v>
      </c>
      <c r="H457">
        <f>I457/100000</f>
        <v>37</v>
      </c>
      <c r="I457" s="14">
        <v>3700000</v>
      </c>
      <c r="J457">
        <f ca="1">INT((TODAY()-F457)/30.417)</f>
        <v>79</v>
      </c>
      <c r="K457" s="13">
        <f t="shared" ca="1" si="7"/>
        <v>0</v>
      </c>
      <c r="L457" s="8">
        <f>G457*3.7%</f>
        <v>425500.00000000006</v>
      </c>
      <c r="M457" s="8">
        <f>G457*2%</f>
        <v>230000</v>
      </c>
      <c r="N457" s="8">
        <f>G457*4%</f>
        <v>460000</v>
      </c>
      <c r="O457" s="8">
        <f>G457*1%</f>
        <v>115000</v>
      </c>
      <c r="P457">
        <v>2</v>
      </c>
      <c r="Q457" s="13">
        <f>P457*200000</f>
        <v>400000</v>
      </c>
      <c r="R457" s="8">
        <v>750000</v>
      </c>
      <c r="S457" s="9">
        <f>8%*G457</f>
        <v>920000</v>
      </c>
    </row>
    <row r="458" spans="1:19" x14ac:dyDescent="0.3">
      <c r="A458">
        <v>456</v>
      </c>
      <c r="B458" s="10" t="s">
        <v>941</v>
      </c>
      <c r="C458" s="10" t="s">
        <v>942</v>
      </c>
      <c r="D458" s="11" t="str">
        <f>VLOOKUP(MID(B458,6,1),'Tabel Acuan'!$A$10:$B$17,2,0)</f>
        <v>Human Resources (HR)</v>
      </c>
      <c r="E458" t="str">
        <f>VLOOKUP(MID(B458,8,2),'Tabel Acuan'!$A$1:$B$6,2,0)</f>
        <v>Assistant Manager</v>
      </c>
      <c r="F458" s="12">
        <v>45079</v>
      </c>
      <c r="G458" s="8" cm="1">
        <f t="array" ref="G458">INDEX('Tabel Acuan'!$F$4:$F$39,
MATCH(1,('Tabel Acuan'!$D$4:$D$39='Data Gaji Pegawai'!D458)*('Tabel Acuan'!$E$4:$E$39='Data Gaji Pegawai'!E458),0))</f>
        <v>9000000</v>
      </c>
      <c r="H458">
        <f>I458/100000</f>
        <v>26</v>
      </c>
      <c r="I458" s="14">
        <v>2600000</v>
      </c>
      <c r="J458">
        <f ca="1">INT((TODAY()-F458)/30.417)</f>
        <v>37</v>
      </c>
      <c r="K458" s="13">
        <f t="shared" ca="1" si="7"/>
        <v>0</v>
      </c>
      <c r="L458" s="8">
        <f>G458*3.7%</f>
        <v>333000.00000000006</v>
      </c>
      <c r="M458" s="8">
        <f>G458*2%</f>
        <v>180000</v>
      </c>
      <c r="N458" s="8">
        <f>G458*4%</f>
        <v>360000</v>
      </c>
      <c r="O458" s="8">
        <f>G458*1%</f>
        <v>90000</v>
      </c>
      <c r="P458">
        <v>1</v>
      </c>
      <c r="Q458" s="13">
        <f>P458*200000</f>
        <v>200000</v>
      </c>
      <c r="R458" s="8">
        <v>500000</v>
      </c>
      <c r="S458" s="9">
        <f>8%*G458</f>
        <v>720000</v>
      </c>
    </row>
    <row r="459" spans="1:19" x14ac:dyDescent="0.3">
      <c r="A459">
        <v>457</v>
      </c>
      <c r="B459" s="10" t="s">
        <v>943</v>
      </c>
      <c r="C459" s="10" t="s">
        <v>944</v>
      </c>
      <c r="D459" s="11" t="str">
        <f>VLOOKUP(MID(B459,6,1),'Tabel Acuan'!$A$10:$B$17,2,0)</f>
        <v>Finance</v>
      </c>
      <c r="E459" t="str">
        <f>VLOOKUP(MID(B459,8,2),'Tabel Acuan'!$A$1:$B$6,2,0)</f>
        <v>Staff</v>
      </c>
      <c r="F459" s="12">
        <v>42809</v>
      </c>
      <c r="G459" s="8" cm="1">
        <f t="array" ref="G459">INDEX('Tabel Acuan'!$F$4:$F$39,
MATCH(1,('Tabel Acuan'!$D$4:$D$39='Data Gaji Pegawai'!D459)*('Tabel Acuan'!$E$4:$E$39='Data Gaji Pegawai'!E459),0))</f>
        <v>5500000</v>
      </c>
      <c r="H459">
        <f>I459/100000</f>
        <v>20</v>
      </c>
      <c r="I459" s="14">
        <v>2000000</v>
      </c>
      <c r="J459">
        <f ca="1">INT((TODAY()-F459)/30.417)</f>
        <v>111</v>
      </c>
      <c r="K459" s="13">
        <f t="shared" ca="1" si="7"/>
        <v>0</v>
      </c>
      <c r="L459" s="8">
        <f>G459*3.7%</f>
        <v>203500.00000000003</v>
      </c>
      <c r="M459" s="8">
        <f>G459*2%</f>
        <v>110000</v>
      </c>
      <c r="N459" s="8">
        <f>G459*4%</f>
        <v>220000</v>
      </c>
      <c r="O459" s="8">
        <f>G459*1%</f>
        <v>55000</v>
      </c>
      <c r="P459">
        <v>5</v>
      </c>
      <c r="Q459" s="13">
        <f>P459*200000</f>
        <v>1000000</v>
      </c>
      <c r="R459" s="8">
        <v>2000000</v>
      </c>
      <c r="S459" s="9">
        <f>8%*G459</f>
        <v>440000</v>
      </c>
    </row>
    <row r="460" spans="1:19" x14ac:dyDescent="0.3">
      <c r="A460">
        <v>458</v>
      </c>
      <c r="B460" s="10" t="s">
        <v>945</v>
      </c>
      <c r="C460" s="10" t="s">
        <v>946</v>
      </c>
      <c r="D460" s="11" t="str">
        <f>VLOOKUP(MID(B460,6,1),'Tabel Acuan'!$A$10:$B$17,2,0)</f>
        <v>Sales</v>
      </c>
      <c r="E460" t="str">
        <f>VLOOKUP(MID(B460,8,2),'Tabel Acuan'!$A$1:$B$6,2,0)</f>
        <v>Manager</v>
      </c>
      <c r="F460" s="12">
        <v>43860</v>
      </c>
      <c r="G460" s="8" cm="1">
        <f t="array" ref="G460">INDEX('Tabel Acuan'!$F$4:$F$39,
MATCH(1,('Tabel Acuan'!$D$4:$D$39='Data Gaji Pegawai'!D460)*('Tabel Acuan'!$E$4:$E$39='Data Gaji Pegawai'!E460),0))</f>
        <v>13000000</v>
      </c>
      <c r="H460">
        <f>I460/100000</f>
        <v>0</v>
      </c>
      <c r="I460" s="14">
        <v>0</v>
      </c>
      <c r="J460">
        <f ca="1">INT((TODAY()-F460)/30.417)</f>
        <v>77</v>
      </c>
      <c r="K460" s="13">
        <f t="shared" ca="1" si="7"/>
        <v>0</v>
      </c>
      <c r="L460" s="8">
        <f>G460*3.7%</f>
        <v>481000.00000000006</v>
      </c>
      <c r="M460" s="8">
        <f>G460*2%</f>
        <v>260000</v>
      </c>
      <c r="N460" s="8">
        <f>G460*4%</f>
        <v>520000</v>
      </c>
      <c r="O460" s="8">
        <f>G460*1%</f>
        <v>130000</v>
      </c>
      <c r="P460">
        <v>14</v>
      </c>
      <c r="Q460" s="13">
        <f>P460*200000</f>
        <v>2800000</v>
      </c>
      <c r="R460" s="8">
        <v>0</v>
      </c>
      <c r="S460" s="9">
        <f>8%*G460</f>
        <v>1040000</v>
      </c>
    </row>
    <row r="461" spans="1:19" x14ac:dyDescent="0.3">
      <c r="A461">
        <v>459</v>
      </c>
      <c r="B461" s="10" t="s">
        <v>947</v>
      </c>
      <c r="C461" s="10" t="s">
        <v>948</v>
      </c>
      <c r="D461" s="11" t="str">
        <f>VLOOKUP(MID(B461,6,1),'Tabel Acuan'!$A$10:$B$17,2,0)</f>
        <v>Marketing</v>
      </c>
      <c r="E461" t="str">
        <f>VLOOKUP(MID(B461,8,2),'Tabel Acuan'!$A$1:$B$6,2,0)</f>
        <v>Supervisor</v>
      </c>
      <c r="F461" s="12">
        <v>42781</v>
      </c>
      <c r="G461" s="8" cm="1">
        <f t="array" ref="G461">INDEX('Tabel Acuan'!$F$4:$F$39,
MATCH(1,('Tabel Acuan'!$D$4:$D$39='Data Gaji Pegawai'!D461)*('Tabel Acuan'!$E$4:$E$39='Data Gaji Pegawai'!E461),0))</f>
        <v>7800000</v>
      </c>
      <c r="H461">
        <f>I461/100000</f>
        <v>8</v>
      </c>
      <c r="I461" s="14">
        <v>800000</v>
      </c>
      <c r="J461">
        <f ca="1">INT((TODAY()-F461)/30.417)</f>
        <v>112</v>
      </c>
      <c r="K461" s="13">
        <f t="shared" ca="1" si="7"/>
        <v>0</v>
      </c>
      <c r="L461" s="8">
        <f>G461*3.7%</f>
        <v>288600.00000000006</v>
      </c>
      <c r="M461" s="8">
        <f>G461*2%</f>
        <v>156000</v>
      </c>
      <c r="N461" s="8">
        <f>G461*4%</f>
        <v>312000</v>
      </c>
      <c r="O461" s="8">
        <f>G461*1%</f>
        <v>78000</v>
      </c>
      <c r="P461">
        <v>13</v>
      </c>
      <c r="Q461" s="13">
        <f>P461*200000</f>
        <v>2600000</v>
      </c>
      <c r="R461" s="8">
        <v>1500000</v>
      </c>
      <c r="S461" s="9">
        <f>8%*G461</f>
        <v>624000</v>
      </c>
    </row>
    <row r="462" spans="1:19" x14ac:dyDescent="0.3">
      <c r="A462">
        <v>460</v>
      </c>
      <c r="B462" s="10" t="s">
        <v>949</v>
      </c>
      <c r="C462" s="10" t="s">
        <v>950</v>
      </c>
      <c r="D462" s="11" t="str">
        <f>VLOOKUP(MID(B462,6,1),'Tabel Acuan'!$A$10:$B$17,2,0)</f>
        <v>Information Technology (IT)</v>
      </c>
      <c r="E462" t="str">
        <f>VLOOKUP(MID(B462,8,2),'Tabel Acuan'!$A$1:$B$6,2,0)</f>
        <v>Staff</v>
      </c>
      <c r="F462" s="12">
        <v>44299</v>
      </c>
      <c r="G462" s="8" cm="1">
        <f t="array" ref="G462">INDEX('Tabel Acuan'!$F$4:$F$39,
MATCH(1,('Tabel Acuan'!$D$4:$D$39='Data Gaji Pegawai'!D462)*('Tabel Acuan'!$E$4:$E$39='Data Gaji Pegawai'!E462),0))</f>
        <v>6000000</v>
      </c>
      <c r="H462">
        <f>I462/100000</f>
        <v>46</v>
      </c>
      <c r="I462" s="14">
        <v>4600000</v>
      </c>
      <c r="J462">
        <f ca="1">INT((TODAY()-F462)/30.417)</f>
        <v>62</v>
      </c>
      <c r="K462" s="13">
        <f t="shared" ca="1" si="7"/>
        <v>0</v>
      </c>
      <c r="L462" s="8">
        <f>G462*3.7%</f>
        <v>222000.00000000003</v>
      </c>
      <c r="M462" s="8">
        <f>G462*2%</f>
        <v>120000</v>
      </c>
      <c r="N462" s="8">
        <f>G462*4%</f>
        <v>240000</v>
      </c>
      <c r="O462" s="8">
        <f>G462*1%</f>
        <v>60000</v>
      </c>
      <c r="P462">
        <v>11</v>
      </c>
      <c r="Q462" s="13">
        <f>P462*200000</f>
        <v>2200000</v>
      </c>
      <c r="R462" s="8">
        <v>1250000</v>
      </c>
      <c r="S462" s="9">
        <f>8%*G462</f>
        <v>480000</v>
      </c>
    </row>
    <row r="463" spans="1:19" x14ac:dyDescent="0.3">
      <c r="A463">
        <v>461</v>
      </c>
      <c r="B463" s="10" t="s">
        <v>951</v>
      </c>
      <c r="C463" s="10" t="s">
        <v>952</v>
      </c>
      <c r="D463" s="11" t="str">
        <f>VLOOKUP(MID(B463,6,1),'Tabel Acuan'!$A$10:$B$17,2,0)</f>
        <v>Finance</v>
      </c>
      <c r="E463" t="str">
        <f>VLOOKUP(MID(B463,8,2),'Tabel Acuan'!$A$1:$B$6,2,0)</f>
        <v>Staff</v>
      </c>
      <c r="F463" s="12">
        <v>45054</v>
      </c>
      <c r="G463" s="8" cm="1">
        <f t="array" ref="G463">INDEX('Tabel Acuan'!$F$4:$F$39,
MATCH(1,('Tabel Acuan'!$D$4:$D$39='Data Gaji Pegawai'!D463)*('Tabel Acuan'!$E$4:$E$39='Data Gaji Pegawai'!E463),0))</f>
        <v>5500000</v>
      </c>
      <c r="H463">
        <f>I463/100000</f>
        <v>14</v>
      </c>
      <c r="I463" s="14">
        <v>1400000</v>
      </c>
      <c r="J463">
        <f ca="1">INT((TODAY()-F463)/30.417)</f>
        <v>37</v>
      </c>
      <c r="K463" s="13">
        <f t="shared" ca="1" si="7"/>
        <v>0</v>
      </c>
      <c r="L463" s="8">
        <f>G463*3.7%</f>
        <v>203500.00000000003</v>
      </c>
      <c r="M463" s="8">
        <f>G463*2%</f>
        <v>110000</v>
      </c>
      <c r="N463" s="8">
        <f>G463*4%</f>
        <v>220000</v>
      </c>
      <c r="O463" s="8">
        <f>G463*1%</f>
        <v>55000</v>
      </c>
      <c r="P463">
        <v>11</v>
      </c>
      <c r="Q463" s="13">
        <f>P463*200000</f>
        <v>2200000</v>
      </c>
      <c r="R463" s="8">
        <v>0</v>
      </c>
      <c r="S463" s="9">
        <f>8%*G463</f>
        <v>440000</v>
      </c>
    </row>
    <row r="464" spans="1:19" x14ac:dyDescent="0.3">
      <c r="A464">
        <v>462</v>
      </c>
      <c r="B464" s="10" t="s">
        <v>953</v>
      </c>
      <c r="C464" s="10" t="s">
        <v>954</v>
      </c>
      <c r="D464" s="11" t="str">
        <f>VLOOKUP(MID(B464,6,1),'Tabel Acuan'!$A$10:$B$17,2,0)</f>
        <v>Information Technology (IT)</v>
      </c>
      <c r="E464" t="str">
        <f>VLOOKUP(MID(B464,8,2),'Tabel Acuan'!$A$1:$B$6,2,0)</f>
        <v>Senior Staff</v>
      </c>
      <c r="F464" s="12">
        <v>42403</v>
      </c>
      <c r="G464" s="8" cm="1">
        <f t="array" ref="G464">INDEX('Tabel Acuan'!$F$4:$F$39,
MATCH(1,('Tabel Acuan'!$D$4:$D$39='Data Gaji Pegawai'!D464)*('Tabel Acuan'!$E$4:$E$39='Data Gaji Pegawai'!E464),0))</f>
        <v>7500000</v>
      </c>
      <c r="H464">
        <f>I464/100000</f>
        <v>52</v>
      </c>
      <c r="I464" s="14">
        <v>5200000</v>
      </c>
      <c r="J464">
        <f ca="1">INT((TODAY()-F464)/30.417)</f>
        <v>124</v>
      </c>
      <c r="K464" s="13">
        <f t="shared" ca="1" si="7"/>
        <v>0</v>
      </c>
      <c r="L464" s="8">
        <f>G464*3.7%</f>
        <v>277500.00000000006</v>
      </c>
      <c r="M464" s="8">
        <f>G464*2%</f>
        <v>150000</v>
      </c>
      <c r="N464" s="8">
        <f>G464*4%</f>
        <v>300000</v>
      </c>
      <c r="O464" s="8">
        <f>G464*1%</f>
        <v>75000</v>
      </c>
      <c r="P464">
        <v>1</v>
      </c>
      <c r="Q464" s="13">
        <f>P464*200000</f>
        <v>200000</v>
      </c>
      <c r="R464" s="8">
        <v>0</v>
      </c>
      <c r="S464" s="9">
        <f>8%*G464</f>
        <v>600000</v>
      </c>
    </row>
    <row r="465" spans="1:19" x14ac:dyDescent="0.3">
      <c r="A465">
        <v>463</v>
      </c>
      <c r="B465" s="10" t="s">
        <v>955</v>
      </c>
      <c r="C465" s="10" t="s">
        <v>956</v>
      </c>
      <c r="D465" s="11" t="str">
        <f>VLOOKUP(MID(B465,6,1),'Tabel Acuan'!$A$10:$B$17,2,0)</f>
        <v>Information Technology (IT)</v>
      </c>
      <c r="E465" t="str">
        <f>VLOOKUP(MID(B465,8,2),'Tabel Acuan'!$A$1:$B$6,2,0)</f>
        <v>Supervisor</v>
      </c>
      <c r="F465" s="12">
        <v>43638</v>
      </c>
      <c r="G465" s="8" cm="1">
        <f t="array" ref="G465">INDEX('Tabel Acuan'!$F$4:$F$39,
MATCH(1,('Tabel Acuan'!$D$4:$D$39='Data Gaji Pegawai'!D465)*('Tabel Acuan'!$E$4:$E$39='Data Gaji Pegawai'!E465),0))</f>
        <v>9000000</v>
      </c>
      <c r="H465">
        <f>I465/100000</f>
        <v>27</v>
      </c>
      <c r="I465" s="14">
        <v>2700000</v>
      </c>
      <c r="J465">
        <f ca="1">INT((TODAY()-F465)/30.417)</f>
        <v>84</v>
      </c>
      <c r="K465" s="13">
        <f t="shared" ca="1" si="7"/>
        <v>0</v>
      </c>
      <c r="L465" s="8">
        <f>G465*3.7%</f>
        <v>333000.00000000006</v>
      </c>
      <c r="M465" s="8">
        <f>G465*2%</f>
        <v>180000</v>
      </c>
      <c r="N465" s="8">
        <f>G465*4%</f>
        <v>360000</v>
      </c>
      <c r="O465" s="8">
        <f>G465*1%</f>
        <v>90000</v>
      </c>
      <c r="P465">
        <v>4</v>
      </c>
      <c r="Q465" s="13">
        <f>P465*200000</f>
        <v>800000</v>
      </c>
      <c r="R465" s="8">
        <v>0</v>
      </c>
      <c r="S465" s="9">
        <f>8%*G465</f>
        <v>720000</v>
      </c>
    </row>
    <row r="466" spans="1:19" x14ac:dyDescent="0.3">
      <c r="A466">
        <v>464</v>
      </c>
      <c r="B466" s="10" t="s">
        <v>957</v>
      </c>
      <c r="C466" s="10" t="s">
        <v>958</v>
      </c>
      <c r="D466" s="11" t="str">
        <f>VLOOKUP(MID(B466,6,1),'Tabel Acuan'!$A$10:$B$17,2,0)</f>
        <v>Logistics</v>
      </c>
      <c r="E466" t="str">
        <f>VLOOKUP(MID(B466,8,2),'Tabel Acuan'!$A$1:$B$6,2,0)</f>
        <v>Supervisor</v>
      </c>
      <c r="F466" s="12">
        <v>44571</v>
      </c>
      <c r="G466" s="8" cm="1">
        <f t="array" ref="G466">INDEX('Tabel Acuan'!$F$4:$F$39,
MATCH(1,('Tabel Acuan'!$D$4:$D$39='Data Gaji Pegawai'!D466)*('Tabel Acuan'!$E$4:$E$39='Data Gaji Pegawai'!E466),0))</f>
        <v>7500000</v>
      </c>
      <c r="H466">
        <f>I466/100000</f>
        <v>14</v>
      </c>
      <c r="I466" s="14">
        <v>1400000</v>
      </c>
      <c r="J466">
        <f ca="1">INT((TODAY()-F466)/30.417)</f>
        <v>53</v>
      </c>
      <c r="K466" s="13">
        <f t="shared" ca="1" si="7"/>
        <v>0</v>
      </c>
      <c r="L466" s="8">
        <f>G466*3.7%</f>
        <v>277500.00000000006</v>
      </c>
      <c r="M466" s="8">
        <f>G466*2%</f>
        <v>150000</v>
      </c>
      <c r="N466" s="8">
        <f>G466*4%</f>
        <v>300000</v>
      </c>
      <c r="O466" s="8">
        <f>G466*1%</f>
        <v>75000</v>
      </c>
      <c r="P466">
        <v>7</v>
      </c>
      <c r="Q466" s="13">
        <f>P466*200000</f>
        <v>1400000</v>
      </c>
      <c r="R466" s="8">
        <v>500000</v>
      </c>
      <c r="S466" s="9">
        <f>8%*G466</f>
        <v>600000</v>
      </c>
    </row>
    <row r="467" spans="1:19" x14ac:dyDescent="0.3">
      <c r="A467">
        <v>465</v>
      </c>
      <c r="B467" s="10" t="s">
        <v>959</v>
      </c>
      <c r="C467" s="10" t="s">
        <v>960</v>
      </c>
      <c r="D467" s="11" t="str">
        <f>VLOOKUP(MID(B467,6,1),'Tabel Acuan'!$A$10:$B$17,2,0)</f>
        <v>Sales</v>
      </c>
      <c r="E467" t="str">
        <f>VLOOKUP(MID(B467,8,2),'Tabel Acuan'!$A$1:$B$6,2,0)</f>
        <v>Staff</v>
      </c>
      <c r="F467" s="12">
        <v>43164</v>
      </c>
      <c r="G467" s="8" cm="1">
        <f t="array" ref="G467">INDEX('Tabel Acuan'!$F$4:$F$39,
MATCH(1,('Tabel Acuan'!$D$4:$D$39='Data Gaji Pegawai'!D467)*('Tabel Acuan'!$E$4:$E$39='Data Gaji Pegawai'!E467),0))</f>
        <v>5000000</v>
      </c>
      <c r="H467">
        <f>I467/100000</f>
        <v>23</v>
      </c>
      <c r="I467" s="14">
        <v>2300000</v>
      </c>
      <c r="J467">
        <f ca="1">INT((TODAY()-F467)/30.417)</f>
        <v>99</v>
      </c>
      <c r="K467" s="13">
        <f t="shared" ca="1" si="7"/>
        <v>0</v>
      </c>
      <c r="L467" s="8">
        <f>G467*3.7%</f>
        <v>185000.00000000003</v>
      </c>
      <c r="M467" s="8">
        <f>G467*2%</f>
        <v>100000</v>
      </c>
      <c r="N467" s="8">
        <f>G467*4%</f>
        <v>200000</v>
      </c>
      <c r="O467" s="8">
        <f>G467*1%</f>
        <v>50000</v>
      </c>
      <c r="P467">
        <v>1</v>
      </c>
      <c r="Q467" s="13">
        <f>P467*200000</f>
        <v>200000</v>
      </c>
      <c r="R467" s="8">
        <v>3500000</v>
      </c>
      <c r="S467" s="9">
        <f>8%*G467</f>
        <v>400000</v>
      </c>
    </row>
    <row r="468" spans="1:19" x14ac:dyDescent="0.3">
      <c r="A468">
        <v>466</v>
      </c>
      <c r="B468" s="10" t="s">
        <v>961</v>
      </c>
      <c r="C468" s="10" t="s">
        <v>962</v>
      </c>
      <c r="D468" s="11" t="str">
        <f>VLOOKUP(MID(B468,6,1),'Tabel Acuan'!$A$10:$B$17,2,0)</f>
        <v>Operations</v>
      </c>
      <c r="E468" t="str">
        <f>VLOOKUP(MID(B468,8,2),'Tabel Acuan'!$A$1:$B$6,2,0)</f>
        <v>Senior Staff</v>
      </c>
      <c r="F468" s="12">
        <v>43490</v>
      </c>
      <c r="G468" s="8" cm="1">
        <f t="array" ref="G468">INDEX('Tabel Acuan'!$F$4:$F$39,
MATCH(1,('Tabel Acuan'!$D$4:$D$39='Data Gaji Pegawai'!D468)*('Tabel Acuan'!$E$4:$E$39='Data Gaji Pegawai'!E468),0))</f>
        <v>6300000</v>
      </c>
      <c r="H468">
        <f>I468/100000</f>
        <v>42</v>
      </c>
      <c r="I468" s="14">
        <v>4200000</v>
      </c>
      <c r="J468">
        <f ca="1">INT((TODAY()-F468)/30.417)</f>
        <v>89</v>
      </c>
      <c r="K468" s="13">
        <f t="shared" ca="1" si="7"/>
        <v>0</v>
      </c>
      <c r="L468" s="8">
        <f>G468*3.7%</f>
        <v>233100.00000000003</v>
      </c>
      <c r="M468" s="8">
        <f>G468*2%</f>
        <v>126000</v>
      </c>
      <c r="N468" s="8">
        <f>G468*4%</f>
        <v>252000</v>
      </c>
      <c r="O468" s="8">
        <f>G468*1%</f>
        <v>63000</v>
      </c>
      <c r="P468">
        <v>3</v>
      </c>
      <c r="Q468" s="13">
        <f>P468*200000</f>
        <v>600000</v>
      </c>
      <c r="R468" s="8">
        <v>250000</v>
      </c>
      <c r="S468" s="9">
        <f>8%*G468</f>
        <v>504000</v>
      </c>
    </row>
    <row r="469" spans="1:19" x14ac:dyDescent="0.3">
      <c r="A469">
        <v>467</v>
      </c>
      <c r="B469" s="10" t="s">
        <v>963</v>
      </c>
      <c r="C469" s="10" t="s">
        <v>964</v>
      </c>
      <c r="D469" s="11" t="str">
        <f>VLOOKUP(MID(B469,6,1),'Tabel Acuan'!$A$10:$B$17,2,0)</f>
        <v>Sales</v>
      </c>
      <c r="E469" t="str">
        <f>VLOOKUP(MID(B469,8,2),'Tabel Acuan'!$A$1:$B$6,2,0)</f>
        <v>Staff</v>
      </c>
      <c r="F469" s="12">
        <v>42068</v>
      </c>
      <c r="G469" s="8" cm="1">
        <f t="array" ref="G469">INDEX('Tabel Acuan'!$F$4:$F$39,
MATCH(1,('Tabel Acuan'!$D$4:$D$39='Data Gaji Pegawai'!D469)*('Tabel Acuan'!$E$4:$E$39='Data Gaji Pegawai'!E469),0))</f>
        <v>5000000</v>
      </c>
      <c r="H469">
        <f>I469/100000</f>
        <v>35</v>
      </c>
      <c r="I469" s="14">
        <v>3500000</v>
      </c>
      <c r="J469">
        <f ca="1">INT((TODAY()-F469)/30.417)</f>
        <v>136</v>
      </c>
      <c r="K469" s="13">
        <f t="shared" ca="1" si="7"/>
        <v>0</v>
      </c>
      <c r="L469" s="8">
        <f>G469*3.7%</f>
        <v>185000.00000000003</v>
      </c>
      <c r="M469" s="8">
        <f>G469*2%</f>
        <v>100000</v>
      </c>
      <c r="N469" s="8">
        <f>G469*4%</f>
        <v>200000</v>
      </c>
      <c r="O469" s="8">
        <f>G469*1%</f>
        <v>50000</v>
      </c>
      <c r="P469">
        <v>8</v>
      </c>
      <c r="Q469" s="13">
        <f>P469*200000</f>
        <v>1600000</v>
      </c>
      <c r="R469" s="8">
        <v>500000</v>
      </c>
      <c r="S469" s="9">
        <f>8%*G469</f>
        <v>400000</v>
      </c>
    </row>
    <row r="470" spans="1:19" x14ac:dyDescent="0.3">
      <c r="A470">
        <v>468</v>
      </c>
      <c r="B470" s="10" t="s">
        <v>965</v>
      </c>
      <c r="C470" s="10" t="s">
        <v>966</v>
      </c>
      <c r="D470" s="11" t="str">
        <f>VLOOKUP(MID(B470,6,1),'Tabel Acuan'!$A$10:$B$17,2,0)</f>
        <v>Sales</v>
      </c>
      <c r="E470" t="str">
        <f>VLOOKUP(MID(B470,8,2),'Tabel Acuan'!$A$1:$B$6,2,0)</f>
        <v>Supervisor</v>
      </c>
      <c r="F470" s="12">
        <v>43316</v>
      </c>
      <c r="G470" s="8" cm="1">
        <f t="array" ref="G470">INDEX('Tabel Acuan'!$F$4:$F$39,
MATCH(1,('Tabel Acuan'!$D$4:$D$39='Data Gaji Pegawai'!D470)*('Tabel Acuan'!$E$4:$E$39='Data Gaji Pegawai'!E470),0))</f>
        <v>7500000</v>
      </c>
      <c r="H470">
        <f>I470/100000</f>
        <v>42</v>
      </c>
      <c r="I470" s="14">
        <v>4200000</v>
      </c>
      <c r="J470">
        <f ca="1">INT((TODAY()-F470)/30.417)</f>
        <v>94</v>
      </c>
      <c r="K470" s="13">
        <f t="shared" ca="1" si="7"/>
        <v>0</v>
      </c>
      <c r="L470" s="8">
        <f>G470*3.7%</f>
        <v>277500.00000000006</v>
      </c>
      <c r="M470" s="8">
        <f>G470*2%</f>
        <v>150000</v>
      </c>
      <c r="N470" s="8">
        <f>G470*4%</f>
        <v>300000</v>
      </c>
      <c r="O470" s="8">
        <f>G470*1%</f>
        <v>75000</v>
      </c>
      <c r="P470">
        <v>3</v>
      </c>
      <c r="Q470" s="13">
        <f>P470*200000</f>
        <v>600000</v>
      </c>
      <c r="R470" s="8">
        <v>1000000</v>
      </c>
      <c r="S470" s="9">
        <f>8%*G470</f>
        <v>600000</v>
      </c>
    </row>
    <row r="471" spans="1:19" x14ac:dyDescent="0.3">
      <c r="A471">
        <v>469</v>
      </c>
      <c r="B471" s="10" t="s">
        <v>967</v>
      </c>
      <c r="C471" s="10" t="s">
        <v>968</v>
      </c>
      <c r="D471" s="11" t="str">
        <f>VLOOKUP(MID(B471,6,1),'Tabel Acuan'!$A$10:$B$17,2,0)</f>
        <v>Marketing</v>
      </c>
      <c r="E471" t="str">
        <f>VLOOKUP(MID(B471,8,2),'Tabel Acuan'!$A$1:$B$6,2,0)</f>
        <v>Supervisor</v>
      </c>
      <c r="F471" s="12">
        <v>45553</v>
      </c>
      <c r="G471" s="8" cm="1">
        <f t="array" ref="G471">INDEX('Tabel Acuan'!$F$4:$F$39,
MATCH(1,('Tabel Acuan'!$D$4:$D$39='Data Gaji Pegawai'!D471)*('Tabel Acuan'!$E$4:$E$39='Data Gaji Pegawai'!E471),0))</f>
        <v>7800000</v>
      </c>
      <c r="H471">
        <f>I471/100000</f>
        <v>46</v>
      </c>
      <c r="I471" s="14">
        <v>4600000</v>
      </c>
      <c r="J471">
        <f ca="1">INT((TODAY()-F471)/30.417)</f>
        <v>21</v>
      </c>
      <c r="K471" s="13">
        <f t="shared" ca="1" si="7"/>
        <v>0</v>
      </c>
      <c r="L471" s="8">
        <f>G471*3.7%</f>
        <v>288600.00000000006</v>
      </c>
      <c r="M471" s="8">
        <f>G471*2%</f>
        <v>156000</v>
      </c>
      <c r="N471" s="8">
        <f>G471*4%</f>
        <v>312000</v>
      </c>
      <c r="O471" s="8">
        <f>G471*1%</f>
        <v>78000</v>
      </c>
      <c r="P471">
        <v>3</v>
      </c>
      <c r="Q471" s="13">
        <f>P471*200000</f>
        <v>600000</v>
      </c>
      <c r="R471" s="8">
        <v>0</v>
      </c>
      <c r="S471" s="9">
        <f>8%*G471</f>
        <v>624000</v>
      </c>
    </row>
    <row r="472" spans="1:19" x14ac:dyDescent="0.3">
      <c r="A472">
        <v>470</v>
      </c>
      <c r="B472" s="10" t="s">
        <v>969</v>
      </c>
      <c r="C472" s="10" t="s">
        <v>970</v>
      </c>
      <c r="D472" s="11" t="str">
        <f>VLOOKUP(MID(B472,6,1),'Tabel Acuan'!$A$10:$B$17,2,0)</f>
        <v>Information Technology (IT)</v>
      </c>
      <c r="E472" t="str">
        <f>VLOOKUP(MID(B472,8,2),'Tabel Acuan'!$A$1:$B$6,2,0)</f>
        <v>Staff</v>
      </c>
      <c r="F472" s="12">
        <v>42504</v>
      </c>
      <c r="G472" s="8" cm="1">
        <f t="array" ref="G472">INDEX('Tabel Acuan'!$F$4:$F$39,
MATCH(1,('Tabel Acuan'!$D$4:$D$39='Data Gaji Pegawai'!D472)*('Tabel Acuan'!$E$4:$E$39='Data Gaji Pegawai'!E472),0))</f>
        <v>6000000</v>
      </c>
      <c r="H472">
        <f>I472/100000</f>
        <v>53</v>
      </c>
      <c r="I472" s="14">
        <v>5300000</v>
      </c>
      <c r="J472">
        <f ca="1">INT((TODAY()-F472)/30.417)</f>
        <v>121</v>
      </c>
      <c r="K472" s="13">
        <f t="shared" ca="1" si="7"/>
        <v>0</v>
      </c>
      <c r="L472" s="8">
        <f>G472*3.7%</f>
        <v>222000.00000000003</v>
      </c>
      <c r="M472" s="8">
        <f>G472*2%</f>
        <v>120000</v>
      </c>
      <c r="N472" s="8">
        <f>G472*4%</f>
        <v>240000</v>
      </c>
      <c r="O472" s="8">
        <f>G472*1%</f>
        <v>60000</v>
      </c>
      <c r="P472">
        <v>6</v>
      </c>
      <c r="Q472" s="13">
        <f>P472*200000</f>
        <v>1200000</v>
      </c>
      <c r="R472" s="8">
        <v>1500000</v>
      </c>
      <c r="S472" s="9">
        <f>8%*G472</f>
        <v>480000</v>
      </c>
    </row>
    <row r="473" spans="1:19" x14ac:dyDescent="0.3">
      <c r="A473">
        <v>471</v>
      </c>
      <c r="B473" s="10" t="s">
        <v>971</v>
      </c>
      <c r="C473" s="10" t="s">
        <v>972</v>
      </c>
      <c r="D473" s="11" t="str">
        <f>VLOOKUP(MID(B473,6,1),'Tabel Acuan'!$A$10:$B$17,2,0)</f>
        <v>Finance</v>
      </c>
      <c r="E473" t="str">
        <f>VLOOKUP(MID(B473,8,2),'Tabel Acuan'!$A$1:$B$6,2,0)</f>
        <v>Staff</v>
      </c>
      <c r="F473" s="12">
        <v>43818</v>
      </c>
      <c r="G473" s="8" cm="1">
        <f t="array" ref="G473">INDEX('Tabel Acuan'!$F$4:$F$39,
MATCH(1,('Tabel Acuan'!$D$4:$D$39='Data Gaji Pegawai'!D473)*('Tabel Acuan'!$E$4:$E$39='Data Gaji Pegawai'!E473),0))</f>
        <v>5500000</v>
      </c>
      <c r="H473">
        <f>I473/100000</f>
        <v>59</v>
      </c>
      <c r="I473" s="14">
        <v>5900000</v>
      </c>
      <c r="J473">
        <f ca="1">INT((TODAY()-F473)/30.417)</f>
        <v>78</v>
      </c>
      <c r="K473" s="13">
        <f t="shared" ca="1" si="7"/>
        <v>0</v>
      </c>
      <c r="L473" s="8">
        <f>G473*3.7%</f>
        <v>203500.00000000003</v>
      </c>
      <c r="M473" s="8">
        <f>G473*2%</f>
        <v>110000</v>
      </c>
      <c r="N473" s="8">
        <f>G473*4%</f>
        <v>220000</v>
      </c>
      <c r="O473" s="8">
        <f>G473*1%</f>
        <v>55000</v>
      </c>
      <c r="P473">
        <v>15</v>
      </c>
      <c r="Q473" s="13">
        <f>P473*200000</f>
        <v>3000000</v>
      </c>
      <c r="R473" s="8">
        <v>0</v>
      </c>
      <c r="S473" s="9">
        <f>8%*G473</f>
        <v>440000</v>
      </c>
    </row>
    <row r="474" spans="1:19" x14ac:dyDescent="0.3">
      <c r="A474">
        <v>472</v>
      </c>
      <c r="B474" s="10" t="s">
        <v>973</v>
      </c>
      <c r="C474" s="10" t="s">
        <v>974</v>
      </c>
      <c r="D474" s="11" t="str">
        <f>VLOOKUP(MID(B474,6,1),'Tabel Acuan'!$A$10:$B$17,2,0)</f>
        <v>Human Resources (HR)</v>
      </c>
      <c r="E474" t="str">
        <f>VLOOKUP(MID(B474,8,2),'Tabel Acuan'!$A$1:$B$6,2,0)</f>
        <v>Senior Staff</v>
      </c>
      <c r="F474" s="12">
        <v>42347</v>
      </c>
      <c r="G474" s="8" cm="1">
        <f t="array" ref="G474">INDEX('Tabel Acuan'!$F$4:$F$39,
MATCH(1,('Tabel Acuan'!$D$4:$D$39='Data Gaji Pegawai'!D474)*('Tabel Acuan'!$E$4:$E$39='Data Gaji Pegawai'!E474),0))</f>
        <v>6000000</v>
      </c>
      <c r="H474">
        <f>I474/100000</f>
        <v>31</v>
      </c>
      <c r="I474" s="14">
        <v>3100000</v>
      </c>
      <c r="J474">
        <f ca="1">INT((TODAY()-F474)/30.417)</f>
        <v>126</v>
      </c>
      <c r="K474" s="13">
        <f t="shared" ca="1" si="7"/>
        <v>0</v>
      </c>
      <c r="L474" s="8">
        <f>G474*3.7%</f>
        <v>222000.00000000003</v>
      </c>
      <c r="M474" s="8">
        <f>G474*2%</f>
        <v>120000</v>
      </c>
      <c r="N474" s="8">
        <f>G474*4%</f>
        <v>240000</v>
      </c>
      <c r="O474" s="8">
        <f>G474*1%</f>
        <v>60000</v>
      </c>
      <c r="P474">
        <v>4</v>
      </c>
      <c r="Q474" s="13">
        <f>P474*200000</f>
        <v>800000</v>
      </c>
      <c r="R474" s="8">
        <v>5000000</v>
      </c>
      <c r="S474" s="9">
        <f>8%*G474</f>
        <v>480000</v>
      </c>
    </row>
    <row r="475" spans="1:19" x14ac:dyDescent="0.3">
      <c r="A475">
        <v>473</v>
      </c>
      <c r="B475" s="10" t="s">
        <v>975</v>
      </c>
      <c r="C475" s="10" t="s">
        <v>976</v>
      </c>
      <c r="D475" s="11" t="str">
        <f>VLOOKUP(MID(B475,6,1),'Tabel Acuan'!$A$10:$B$17,2,0)</f>
        <v>Human Resources (HR)</v>
      </c>
      <c r="E475" t="str">
        <f>VLOOKUP(MID(B475,8,2),'Tabel Acuan'!$A$1:$B$6,2,0)</f>
        <v>Supervisor</v>
      </c>
      <c r="F475" s="12">
        <v>45256</v>
      </c>
      <c r="G475" s="8" cm="1">
        <f t="array" ref="G475">INDEX('Tabel Acuan'!$F$4:$F$39,
MATCH(1,('Tabel Acuan'!$D$4:$D$39='Data Gaji Pegawai'!D475)*('Tabel Acuan'!$E$4:$E$39='Data Gaji Pegawai'!E475),0))</f>
        <v>7250000</v>
      </c>
      <c r="H475">
        <f>I475/100000</f>
        <v>14</v>
      </c>
      <c r="I475" s="14">
        <v>1400000</v>
      </c>
      <c r="J475">
        <f ca="1">INT((TODAY()-F475)/30.417)</f>
        <v>31</v>
      </c>
      <c r="K475" s="13">
        <f t="shared" ca="1" si="7"/>
        <v>0</v>
      </c>
      <c r="L475" s="8">
        <f>G475*3.7%</f>
        <v>268250.00000000006</v>
      </c>
      <c r="M475" s="8">
        <f>G475*2%</f>
        <v>145000</v>
      </c>
      <c r="N475" s="8">
        <f>G475*4%</f>
        <v>290000</v>
      </c>
      <c r="O475" s="8">
        <f>G475*1%</f>
        <v>72500</v>
      </c>
      <c r="P475">
        <v>14</v>
      </c>
      <c r="Q475" s="13">
        <f>P475*200000</f>
        <v>2800000</v>
      </c>
      <c r="R475" s="8">
        <v>1000000</v>
      </c>
      <c r="S475" s="9">
        <f>8%*G475</f>
        <v>580000</v>
      </c>
    </row>
    <row r="476" spans="1:19" x14ac:dyDescent="0.3">
      <c r="A476">
        <v>474</v>
      </c>
      <c r="B476" s="10" t="s">
        <v>977</v>
      </c>
      <c r="C476" s="10" t="s">
        <v>548</v>
      </c>
      <c r="D476" s="11" t="str">
        <f>VLOOKUP(MID(B476,6,1),'Tabel Acuan'!$A$10:$B$17,2,0)</f>
        <v>Information Technology (IT)</v>
      </c>
      <c r="E476" t="str">
        <f>VLOOKUP(MID(B476,8,2),'Tabel Acuan'!$A$1:$B$6,2,0)</f>
        <v>Staff</v>
      </c>
      <c r="F476" s="12">
        <v>43614</v>
      </c>
      <c r="G476" s="8" cm="1">
        <f t="array" ref="G476">INDEX('Tabel Acuan'!$F$4:$F$39,
MATCH(1,('Tabel Acuan'!$D$4:$D$39='Data Gaji Pegawai'!D476)*('Tabel Acuan'!$E$4:$E$39='Data Gaji Pegawai'!E476),0))</f>
        <v>6000000</v>
      </c>
      <c r="H476">
        <f>I476/100000</f>
        <v>23</v>
      </c>
      <c r="I476" s="14">
        <v>2300000</v>
      </c>
      <c r="J476">
        <f ca="1">INT((TODAY()-F476)/30.417)</f>
        <v>85</v>
      </c>
      <c r="K476" s="13">
        <f t="shared" ca="1" si="7"/>
        <v>0</v>
      </c>
      <c r="L476" s="8">
        <f>G476*3.7%</f>
        <v>222000.00000000003</v>
      </c>
      <c r="M476" s="8">
        <f>G476*2%</f>
        <v>120000</v>
      </c>
      <c r="N476" s="8">
        <f>G476*4%</f>
        <v>240000</v>
      </c>
      <c r="O476" s="8">
        <f>G476*1%</f>
        <v>60000</v>
      </c>
      <c r="P476">
        <v>10</v>
      </c>
      <c r="Q476" s="13">
        <f>P476*200000</f>
        <v>2000000</v>
      </c>
      <c r="R476" s="8">
        <v>300000</v>
      </c>
      <c r="S476" s="9">
        <f>8%*G476</f>
        <v>480000</v>
      </c>
    </row>
    <row r="477" spans="1:19" x14ac:dyDescent="0.3">
      <c r="A477">
        <v>475</v>
      </c>
      <c r="B477" s="10" t="s">
        <v>978</v>
      </c>
      <c r="C477" s="10" t="s">
        <v>979</v>
      </c>
      <c r="D477" s="11" t="str">
        <f>VLOOKUP(MID(B477,6,1),'Tabel Acuan'!$A$10:$B$17,2,0)</f>
        <v>Operations</v>
      </c>
      <c r="E477" t="str">
        <f>VLOOKUP(MID(B477,8,2),'Tabel Acuan'!$A$1:$B$6,2,0)</f>
        <v>Supervisor</v>
      </c>
      <c r="F477" s="12">
        <v>42440</v>
      </c>
      <c r="G477" s="8" cm="1">
        <f t="array" ref="G477">INDEX('Tabel Acuan'!$F$4:$F$39,
MATCH(1,('Tabel Acuan'!$D$4:$D$39='Data Gaji Pegawai'!D477)*('Tabel Acuan'!$E$4:$E$39='Data Gaji Pegawai'!E477),0))</f>
        <v>7700000</v>
      </c>
      <c r="H477">
        <f>I477/100000</f>
        <v>42</v>
      </c>
      <c r="I477" s="14">
        <v>4200000</v>
      </c>
      <c r="J477">
        <f ca="1">INT((TODAY()-F477)/30.417)</f>
        <v>123</v>
      </c>
      <c r="K477" s="13">
        <f t="shared" ca="1" si="7"/>
        <v>0</v>
      </c>
      <c r="L477" s="8">
        <f>G477*3.7%</f>
        <v>284900.00000000006</v>
      </c>
      <c r="M477" s="8">
        <f>G477*2%</f>
        <v>154000</v>
      </c>
      <c r="N477" s="8">
        <f>G477*4%</f>
        <v>308000</v>
      </c>
      <c r="O477" s="8">
        <f>G477*1%</f>
        <v>77000</v>
      </c>
      <c r="P477">
        <v>5</v>
      </c>
      <c r="Q477" s="13">
        <f>P477*200000</f>
        <v>1000000</v>
      </c>
      <c r="R477" s="8">
        <v>0</v>
      </c>
      <c r="S477" s="9">
        <f>8%*G477</f>
        <v>616000</v>
      </c>
    </row>
    <row r="478" spans="1:19" x14ac:dyDescent="0.3">
      <c r="A478">
        <v>476</v>
      </c>
      <c r="B478" s="10" t="s">
        <v>980</v>
      </c>
      <c r="C478" s="10" t="s">
        <v>981</v>
      </c>
      <c r="D478" s="11" t="str">
        <f>VLOOKUP(MID(B478,6,1),'Tabel Acuan'!$A$10:$B$17,2,0)</f>
        <v>Marketing</v>
      </c>
      <c r="E478" t="str">
        <f>VLOOKUP(MID(B478,8,2),'Tabel Acuan'!$A$1:$B$6,2,0)</f>
        <v>Staff</v>
      </c>
      <c r="F478" s="12">
        <v>44752</v>
      </c>
      <c r="G478" s="8" cm="1">
        <f t="array" ref="G478">INDEX('Tabel Acuan'!$F$4:$F$39,
MATCH(1,('Tabel Acuan'!$D$4:$D$39='Data Gaji Pegawai'!D478)*('Tabel Acuan'!$E$4:$E$39='Data Gaji Pegawai'!E478),0))</f>
        <v>5300000</v>
      </c>
      <c r="H478">
        <f>I478/100000</f>
        <v>52</v>
      </c>
      <c r="I478" s="14">
        <v>5200000</v>
      </c>
      <c r="J478">
        <f ca="1">INT((TODAY()-F478)/30.417)</f>
        <v>47</v>
      </c>
      <c r="K478" s="13">
        <f t="shared" ca="1" si="7"/>
        <v>0</v>
      </c>
      <c r="L478" s="8">
        <f>G478*3.7%</f>
        <v>196100.00000000003</v>
      </c>
      <c r="M478" s="8">
        <f>G478*2%</f>
        <v>106000</v>
      </c>
      <c r="N478" s="8">
        <f>G478*4%</f>
        <v>212000</v>
      </c>
      <c r="O478" s="8">
        <f>G478*1%</f>
        <v>53000</v>
      </c>
      <c r="P478">
        <v>10</v>
      </c>
      <c r="Q478" s="13">
        <f>P478*200000</f>
        <v>2000000</v>
      </c>
      <c r="R478" s="8">
        <v>0</v>
      </c>
      <c r="S478" s="9">
        <f>8%*G478</f>
        <v>424000</v>
      </c>
    </row>
    <row r="479" spans="1:19" x14ac:dyDescent="0.3">
      <c r="A479">
        <v>477</v>
      </c>
      <c r="B479" s="10" t="s">
        <v>982</v>
      </c>
      <c r="C479" s="10" t="s">
        <v>983</v>
      </c>
      <c r="D479" s="11" t="str">
        <f>VLOOKUP(MID(B479,6,1),'Tabel Acuan'!$A$10:$B$17,2,0)</f>
        <v>Information Technology (IT)</v>
      </c>
      <c r="E479" t="str">
        <f>VLOOKUP(MID(B479,8,2),'Tabel Acuan'!$A$1:$B$6,2,0)</f>
        <v>Manager</v>
      </c>
      <c r="F479" s="12">
        <v>44550</v>
      </c>
      <c r="G479" s="8" cm="1">
        <f t="array" ref="G479">INDEX('Tabel Acuan'!$F$4:$F$39,
MATCH(1,('Tabel Acuan'!$D$4:$D$39='Data Gaji Pegawai'!D479)*('Tabel Acuan'!$E$4:$E$39='Data Gaji Pegawai'!E479),0))</f>
        <v>15000000</v>
      </c>
      <c r="H479">
        <f>I479/100000</f>
        <v>54</v>
      </c>
      <c r="I479" s="14">
        <v>5400000</v>
      </c>
      <c r="J479">
        <f ca="1">INT((TODAY()-F479)/30.417)</f>
        <v>54</v>
      </c>
      <c r="K479" s="13">
        <f t="shared" ca="1" si="7"/>
        <v>0</v>
      </c>
      <c r="L479" s="8">
        <f>G479*3.7%</f>
        <v>555000.00000000012</v>
      </c>
      <c r="M479" s="8">
        <f>G479*2%</f>
        <v>300000</v>
      </c>
      <c r="N479" s="8">
        <f>G479*4%</f>
        <v>600000</v>
      </c>
      <c r="O479" s="8">
        <f>G479*1%</f>
        <v>150000</v>
      </c>
      <c r="P479">
        <v>15</v>
      </c>
      <c r="Q479" s="13">
        <f>P479*200000</f>
        <v>3000000</v>
      </c>
      <c r="R479" s="8">
        <v>3500000</v>
      </c>
      <c r="S479" s="9">
        <f>8%*G479</f>
        <v>1200000</v>
      </c>
    </row>
    <row r="480" spans="1:19" x14ac:dyDescent="0.3">
      <c r="A480">
        <v>478</v>
      </c>
      <c r="B480" s="10" t="s">
        <v>984</v>
      </c>
      <c r="C480" s="10" t="s">
        <v>985</v>
      </c>
      <c r="D480" s="11" t="str">
        <f>VLOOKUP(MID(B480,6,1),'Tabel Acuan'!$A$10:$B$17,2,0)</f>
        <v>Human Resources (HR)</v>
      </c>
      <c r="E480" t="str">
        <f>VLOOKUP(MID(B480,8,2),'Tabel Acuan'!$A$1:$B$6,2,0)</f>
        <v>Staff</v>
      </c>
      <c r="F480" s="12">
        <v>42817</v>
      </c>
      <c r="G480" s="8" cm="1">
        <f t="array" ref="G480">INDEX('Tabel Acuan'!$F$4:$F$39,
MATCH(1,('Tabel Acuan'!$D$4:$D$39='Data Gaji Pegawai'!D480)*('Tabel Acuan'!$E$4:$E$39='Data Gaji Pegawai'!E480),0))</f>
        <v>5000000</v>
      </c>
      <c r="H480">
        <f>I480/100000</f>
        <v>6</v>
      </c>
      <c r="I480" s="14">
        <v>600000</v>
      </c>
      <c r="J480">
        <f ca="1">INT((TODAY()-F480)/30.417)</f>
        <v>111</v>
      </c>
      <c r="K480" s="13">
        <f t="shared" ca="1" si="7"/>
        <v>0</v>
      </c>
      <c r="L480" s="8">
        <f>G480*3.7%</f>
        <v>185000.00000000003</v>
      </c>
      <c r="M480" s="8">
        <f>G480*2%</f>
        <v>100000</v>
      </c>
      <c r="N480" s="8">
        <f>G480*4%</f>
        <v>200000</v>
      </c>
      <c r="O480" s="8">
        <f>G480*1%</f>
        <v>50000</v>
      </c>
      <c r="P480">
        <v>13</v>
      </c>
      <c r="Q480" s="13">
        <f>P480*200000</f>
        <v>2600000</v>
      </c>
      <c r="R480" s="8">
        <v>2000000</v>
      </c>
      <c r="S480" s="9">
        <f>8%*G480</f>
        <v>400000</v>
      </c>
    </row>
    <row r="481" spans="1:19" x14ac:dyDescent="0.3">
      <c r="A481">
        <v>479</v>
      </c>
      <c r="B481" s="10" t="s">
        <v>986</v>
      </c>
      <c r="C481" s="10" t="s">
        <v>987</v>
      </c>
      <c r="D481" s="11" t="str">
        <f>VLOOKUP(MID(B481,6,1),'Tabel Acuan'!$A$10:$B$17,2,0)</f>
        <v>Sales</v>
      </c>
      <c r="E481" t="str">
        <f>VLOOKUP(MID(B481,8,2),'Tabel Acuan'!$A$1:$B$6,2,0)</f>
        <v>Senior Staff</v>
      </c>
      <c r="F481" s="12">
        <v>45475</v>
      </c>
      <c r="G481" s="8" cm="1">
        <f t="array" ref="G481">INDEX('Tabel Acuan'!$F$4:$F$39,
MATCH(1,('Tabel Acuan'!$D$4:$D$39='Data Gaji Pegawai'!D481)*('Tabel Acuan'!$E$4:$E$39='Data Gaji Pegawai'!E481),0))</f>
        <v>6000000</v>
      </c>
      <c r="H481">
        <f>I481/100000</f>
        <v>39</v>
      </c>
      <c r="I481" s="14">
        <v>3900000</v>
      </c>
      <c r="J481">
        <f ca="1">INT((TODAY()-F481)/30.417)</f>
        <v>23</v>
      </c>
      <c r="K481" s="13">
        <f t="shared" ca="1" si="7"/>
        <v>0</v>
      </c>
      <c r="L481" s="8">
        <f>G481*3.7%</f>
        <v>222000.00000000003</v>
      </c>
      <c r="M481" s="8">
        <f>G481*2%</f>
        <v>120000</v>
      </c>
      <c r="N481" s="8">
        <f>G481*4%</f>
        <v>240000</v>
      </c>
      <c r="O481" s="8">
        <f>G481*1%</f>
        <v>60000</v>
      </c>
      <c r="P481">
        <v>0</v>
      </c>
      <c r="Q481" s="13">
        <f>P481*200000</f>
        <v>0</v>
      </c>
      <c r="R481" s="8">
        <v>4000000</v>
      </c>
      <c r="S481" s="9">
        <f>8%*G481</f>
        <v>480000</v>
      </c>
    </row>
    <row r="482" spans="1:19" x14ac:dyDescent="0.3">
      <c r="A482">
        <v>480</v>
      </c>
      <c r="B482" s="10" t="s">
        <v>988</v>
      </c>
      <c r="C482" s="10" t="s">
        <v>989</v>
      </c>
      <c r="D482" s="11" t="str">
        <f>VLOOKUP(MID(B482,6,1),'Tabel Acuan'!$A$10:$B$17,2,0)</f>
        <v>Information Technology (IT)</v>
      </c>
      <c r="E482" t="str">
        <f>VLOOKUP(MID(B482,8,2),'Tabel Acuan'!$A$1:$B$6,2,0)</f>
        <v>Assistant Manager</v>
      </c>
      <c r="F482" s="12">
        <v>42961</v>
      </c>
      <c r="G482" s="8" cm="1">
        <f t="array" ref="G482">INDEX('Tabel Acuan'!$F$4:$F$39,
MATCH(1,('Tabel Acuan'!$D$4:$D$39='Data Gaji Pegawai'!D482)*('Tabel Acuan'!$E$4:$E$39='Data Gaji Pegawai'!E482),0))</f>
        <v>11500000</v>
      </c>
      <c r="H482">
        <f>I482/100000</f>
        <v>2</v>
      </c>
      <c r="I482" s="14">
        <v>200000</v>
      </c>
      <c r="J482">
        <f ca="1">INT((TODAY()-F482)/30.417)</f>
        <v>106</v>
      </c>
      <c r="K482" s="13">
        <f t="shared" ca="1" si="7"/>
        <v>0</v>
      </c>
      <c r="L482" s="8">
        <f>G482*3.7%</f>
        <v>425500.00000000006</v>
      </c>
      <c r="M482" s="8">
        <f>G482*2%</f>
        <v>230000</v>
      </c>
      <c r="N482" s="8">
        <f>G482*4%</f>
        <v>460000</v>
      </c>
      <c r="O482" s="8">
        <f>G482*1%</f>
        <v>115000</v>
      </c>
      <c r="P482">
        <v>2</v>
      </c>
      <c r="Q482" s="13">
        <f>P482*200000</f>
        <v>400000</v>
      </c>
      <c r="R482" s="8">
        <v>0</v>
      </c>
      <c r="S482" s="9">
        <f>8%*G482</f>
        <v>920000</v>
      </c>
    </row>
    <row r="483" spans="1:19" x14ac:dyDescent="0.3">
      <c r="A483">
        <v>481</v>
      </c>
      <c r="B483" s="10" t="s">
        <v>990</v>
      </c>
      <c r="C483" s="10" t="s">
        <v>991</v>
      </c>
      <c r="D483" s="11" t="str">
        <f>VLOOKUP(MID(B483,6,1),'Tabel Acuan'!$A$10:$B$17,2,0)</f>
        <v>Human Resources (HR)</v>
      </c>
      <c r="E483" t="str">
        <f>VLOOKUP(MID(B483,8,2),'Tabel Acuan'!$A$1:$B$6,2,0)</f>
        <v>Supervisor</v>
      </c>
      <c r="F483" s="12">
        <v>44126</v>
      </c>
      <c r="G483" s="8" cm="1">
        <f t="array" ref="G483">INDEX('Tabel Acuan'!$F$4:$F$39,
MATCH(1,('Tabel Acuan'!$D$4:$D$39='Data Gaji Pegawai'!D483)*('Tabel Acuan'!$E$4:$E$39='Data Gaji Pegawai'!E483),0))</f>
        <v>7250000</v>
      </c>
      <c r="H483">
        <f>I483/100000</f>
        <v>46</v>
      </c>
      <c r="I483" s="14">
        <v>4600000</v>
      </c>
      <c r="J483">
        <f ca="1">INT((TODAY()-F483)/30.417)</f>
        <v>68</v>
      </c>
      <c r="K483" s="13">
        <f t="shared" ca="1" si="7"/>
        <v>0</v>
      </c>
      <c r="L483" s="8">
        <f>G483*3.7%</f>
        <v>268250.00000000006</v>
      </c>
      <c r="M483" s="8">
        <f>G483*2%</f>
        <v>145000</v>
      </c>
      <c r="N483" s="8">
        <f>G483*4%</f>
        <v>290000</v>
      </c>
      <c r="O483" s="8">
        <f>G483*1%</f>
        <v>72500</v>
      </c>
      <c r="P483">
        <v>7</v>
      </c>
      <c r="Q483" s="13">
        <f>P483*200000</f>
        <v>1400000</v>
      </c>
      <c r="R483" s="8">
        <v>3500000</v>
      </c>
      <c r="S483" s="9">
        <f>8%*G483</f>
        <v>580000</v>
      </c>
    </row>
    <row r="484" spans="1:19" x14ac:dyDescent="0.3">
      <c r="A484">
        <v>482</v>
      </c>
      <c r="B484" s="10" t="s">
        <v>992</v>
      </c>
      <c r="C484" s="10" t="s">
        <v>993</v>
      </c>
      <c r="D484" s="11" t="str">
        <f>VLOOKUP(MID(B484,6,1),'Tabel Acuan'!$A$10:$B$17,2,0)</f>
        <v>Marketing</v>
      </c>
      <c r="E484" t="str">
        <f>VLOOKUP(MID(B484,8,2),'Tabel Acuan'!$A$1:$B$6,2,0)</f>
        <v>Senior Staff</v>
      </c>
      <c r="F484" s="12">
        <v>43879</v>
      </c>
      <c r="G484" s="8" cm="1">
        <f t="array" ref="G484">INDEX('Tabel Acuan'!$F$4:$F$39,
MATCH(1,('Tabel Acuan'!$D$4:$D$39='Data Gaji Pegawai'!D484)*('Tabel Acuan'!$E$4:$E$39='Data Gaji Pegawai'!E484),0))</f>
        <v>6400000</v>
      </c>
      <c r="H484">
        <f>I484/100000</f>
        <v>27</v>
      </c>
      <c r="I484" s="14">
        <v>2700000</v>
      </c>
      <c r="J484">
        <f ca="1">INT((TODAY()-F484)/30.417)</f>
        <v>76</v>
      </c>
      <c r="K484" s="13">
        <f t="shared" ca="1" si="7"/>
        <v>0</v>
      </c>
      <c r="L484" s="8">
        <f>G484*3.7%</f>
        <v>236800.00000000003</v>
      </c>
      <c r="M484" s="8">
        <f>G484*2%</f>
        <v>128000</v>
      </c>
      <c r="N484" s="8">
        <f>G484*4%</f>
        <v>256000</v>
      </c>
      <c r="O484" s="8">
        <f>G484*1%</f>
        <v>64000</v>
      </c>
      <c r="P484">
        <v>7</v>
      </c>
      <c r="Q484" s="13">
        <f>P484*200000</f>
        <v>1400000</v>
      </c>
      <c r="R484" s="8">
        <v>3500000</v>
      </c>
      <c r="S484" s="9">
        <f>8%*G484</f>
        <v>512000</v>
      </c>
    </row>
    <row r="485" spans="1:19" x14ac:dyDescent="0.3">
      <c r="A485">
        <v>483</v>
      </c>
      <c r="B485" s="10" t="s">
        <v>994</v>
      </c>
      <c r="C485" s="10" t="s">
        <v>995</v>
      </c>
      <c r="D485" s="11" t="str">
        <f>VLOOKUP(MID(B485,6,1),'Tabel Acuan'!$A$10:$B$17,2,0)</f>
        <v>Sales</v>
      </c>
      <c r="E485" t="str">
        <f>VLOOKUP(MID(B485,8,2),'Tabel Acuan'!$A$1:$B$6,2,0)</f>
        <v>Staff</v>
      </c>
      <c r="F485" s="12">
        <v>45685</v>
      </c>
      <c r="G485" s="8" cm="1">
        <f t="array" ref="G485">INDEX('Tabel Acuan'!$F$4:$F$39,
MATCH(1,('Tabel Acuan'!$D$4:$D$39='Data Gaji Pegawai'!D485)*('Tabel Acuan'!$E$4:$E$39='Data Gaji Pegawai'!E485),0))</f>
        <v>5000000</v>
      </c>
      <c r="H485">
        <f>I485/100000</f>
        <v>0</v>
      </c>
      <c r="I485" s="14">
        <v>0</v>
      </c>
      <c r="J485">
        <f ca="1">INT((TODAY()-F485)/30.417)</f>
        <v>17</v>
      </c>
      <c r="K485" s="13">
        <f t="shared" ca="1" si="7"/>
        <v>0</v>
      </c>
      <c r="L485" s="8">
        <f>G485*3.7%</f>
        <v>185000.00000000003</v>
      </c>
      <c r="M485" s="8">
        <f>G485*2%</f>
        <v>100000</v>
      </c>
      <c r="N485" s="8">
        <f>G485*4%</f>
        <v>200000</v>
      </c>
      <c r="O485" s="8">
        <f>G485*1%</f>
        <v>50000</v>
      </c>
      <c r="P485">
        <v>5</v>
      </c>
      <c r="Q485" s="13">
        <f>P485*200000</f>
        <v>1000000</v>
      </c>
      <c r="R485" s="8">
        <v>2000000</v>
      </c>
      <c r="S485" s="9">
        <f>8%*G485</f>
        <v>400000</v>
      </c>
    </row>
    <row r="486" spans="1:19" x14ac:dyDescent="0.3">
      <c r="A486">
        <v>484</v>
      </c>
      <c r="B486" s="10" t="s">
        <v>996</v>
      </c>
      <c r="C486" s="10" t="s">
        <v>997</v>
      </c>
      <c r="D486" s="11" t="str">
        <f>VLOOKUP(MID(B486,6,1),'Tabel Acuan'!$A$10:$B$17,2,0)</f>
        <v>Operations</v>
      </c>
      <c r="E486" t="str">
        <f>VLOOKUP(MID(B486,8,2),'Tabel Acuan'!$A$1:$B$6,2,0)</f>
        <v>Staff</v>
      </c>
      <c r="F486" s="12">
        <v>44726</v>
      </c>
      <c r="G486" s="8" cm="1">
        <f t="array" ref="G486">INDEX('Tabel Acuan'!$F$4:$F$39,
MATCH(1,('Tabel Acuan'!$D$4:$D$39='Data Gaji Pegawai'!D486)*('Tabel Acuan'!$E$4:$E$39='Data Gaji Pegawai'!E486),0))</f>
        <v>5200000</v>
      </c>
      <c r="H486">
        <f>I486/100000</f>
        <v>15</v>
      </c>
      <c r="I486" s="14">
        <v>1500000</v>
      </c>
      <c r="J486">
        <f ca="1">INT((TODAY()-F486)/30.417)</f>
        <v>48</v>
      </c>
      <c r="K486" s="13">
        <f t="shared" ca="1" si="7"/>
        <v>0</v>
      </c>
      <c r="L486" s="8">
        <f>G486*3.7%</f>
        <v>192400.00000000003</v>
      </c>
      <c r="M486" s="8">
        <f>G486*2%</f>
        <v>104000</v>
      </c>
      <c r="N486" s="8">
        <f>G486*4%</f>
        <v>208000</v>
      </c>
      <c r="O486" s="8">
        <f>G486*1%</f>
        <v>52000</v>
      </c>
      <c r="P486">
        <v>10</v>
      </c>
      <c r="Q486" s="13">
        <f>P486*200000</f>
        <v>2000000</v>
      </c>
      <c r="R486" s="8">
        <v>250000</v>
      </c>
      <c r="S486" s="9">
        <f>8%*G486</f>
        <v>416000</v>
      </c>
    </row>
    <row r="487" spans="1:19" x14ac:dyDescent="0.3">
      <c r="A487">
        <v>485</v>
      </c>
      <c r="B487" s="10" t="s">
        <v>998</v>
      </c>
      <c r="C487" s="10" t="s">
        <v>999</v>
      </c>
      <c r="D487" s="11" t="str">
        <f>VLOOKUP(MID(B487,6,1),'Tabel Acuan'!$A$10:$B$17,2,0)</f>
        <v>Finance</v>
      </c>
      <c r="E487" t="str">
        <f>VLOOKUP(MID(B487,8,2),'Tabel Acuan'!$A$1:$B$6,2,0)</f>
        <v>Senior Staff</v>
      </c>
      <c r="F487" s="12">
        <v>45047</v>
      </c>
      <c r="G487" s="8" cm="1">
        <f t="array" ref="G487">INDEX('Tabel Acuan'!$F$4:$F$39,
MATCH(1,('Tabel Acuan'!$D$4:$D$39='Data Gaji Pegawai'!D487)*('Tabel Acuan'!$E$4:$E$39='Data Gaji Pegawai'!E487),0))</f>
        <v>6600000</v>
      </c>
      <c r="H487">
        <f>I487/100000</f>
        <v>5</v>
      </c>
      <c r="I487" s="14">
        <v>500000</v>
      </c>
      <c r="J487">
        <f ca="1">INT((TODAY()-F487)/30.417)</f>
        <v>38</v>
      </c>
      <c r="K487" s="13">
        <f t="shared" ca="1" si="7"/>
        <v>0</v>
      </c>
      <c r="L487" s="8">
        <f>G487*3.7%</f>
        <v>244200.00000000003</v>
      </c>
      <c r="M487" s="8">
        <f>G487*2%</f>
        <v>132000</v>
      </c>
      <c r="N487" s="8">
        <f>G487*4%</f>
        <v>264000</v>
      </c>
      <c r="O487" s="8">
        <f>G487*1%</f>
        <v>66000</v>
      </c>
      <c r="P487">
        <v>14</v>
      </c>
      <c r="Q487" s="13">
        <f>P487*200000</f>
        <v>2800000</v>
      </c>
      <c r="R487" s="8">
        <v>3000000</v>
      </c>
      <c r="S487" s="9">
        <f>8%*G487</f>
        <v>528000</v>
      </c>
    </row>
    <row r="488" spans="1:19" x14ac:dyDescent="0.3">
      <c r="A488">
        <v>486</v>
      </c>
      <c r="B488" s="10" t="s">
        <v>1000</v>
      </c>
      <c r="C488" s="10" t="s">
        <v>1001</v>
      </c>
      <c r="D488" s="11" t="str">
        <f>VLOOKUP(MID(B488,6,1),'Tabel Acuan'!$A$10:$B$17,2,0)</f>
        <v>Human Resources (HR)</v>
      </c>
      <c r="E488" t="str">
        <f>VLOOKUP(MID(B488,8,2),'Tabel Acuan'!$A$1:$B$6,2,0)</f>
        <v>Assistant Manager</v>
      </c>
      <c r="F488" s="12">
        <v>44622</v>
      </c>
      <c r="G488" s="8" cm="1">
        <f t="array" ref="G488">INDEX('Tabel Acuan'!$F$4:$F$39,
MATCH(1,('Tabel Acuan'!$D$4:$D$39='Data Gaji Pegawai'!D488)*('Tabel Acuan'!$E$4:$E$39='Data Gaji Pegawai'!E488),0))</f>
        <v>9000000</v>
      </c>
      <c r="H488">
        <f>I488/100000</f>
        <v>31</v>
      </c>
      <c r="I488" s="14">
        <v>3100000</v>
      </c>
      <c r="J488">
        <f ca="1">INT((TODAY()-F488)/30.417)</f>
        <v>52</v>
      </c>
      <c r="K488" s="13">
        <f t="shared" ca="1" si="7"/>
        <v>0</v>
      </c>
      <c r="L488" s="8">
        <f>G488*3.7%</f>
        <v>333000.00000000006</v>
      </c>
      <c r="M488" s="8">
        <f>G488*2%</f>
        <v>180000</v>
      </c>
      <c r="N488" s="8">
        <f>G488*4%</f>
        <v>360000</v>
      </c>
      <c r="O488" s="8">
        <f>G488*1%</f>
        <v>90000</v>
      </c>
      <c r="P488">
        <v>0</v>
      </c>
      <c r="Q488" s="13">
        <f>P488*200000</f>
        <v>0</v>
      </c>
      <c r="R488" s="8">
        <v>0</v>
      </c>
      <c r="S488" s="9">
        <f>8%*G488</f>
        <v>720000</v>
      </c>
    </row>
    <row r="489" spans="1:19" x14ac:dyDescent="0.3">
      <c r="A489">
        <v>487</v>
      </c>
      <c r="B489" s="10" t="s">
        <v>1002</v>
      </c>
      <c r="C489" s="10" t="s">
        <v>1003</v>
      </c>
      <c r="D489" s="11" t="str">
        <f>VLOOKUP(MID(B489,6,1),'Tabel Acuan'!$A$10:$B$17,2,0)</f>
        <v>Human Resources (HR)</v>
      </c>
      <c r="E489" t="str">
        <f>VLOOKUP(MID(B489,8,2),'Tabel Acuan'!$A$1:$B$6,2,0)</f>
        <v>Senior Staff</v>
      </c>
      <c r="F489" s="12">
        <v>44506</v>
      </c>
      <c r="G489" s="8" cm="1">
        <f t="array" ref="G489">INDEX('Tabel Acuan'!$F$4:$F$39,
MATCH(1,('Tabel Acuan'!$D$4:$D$39='Data Gaji Pegawai'!D489)*('Tabel Acuan'!$E$4:$E$39='Data Gaji Pegawai'!E489),0))</f>
        <v>6000000</v>
      </c>
      <c r="H489">
        <f>I489/100000</f>
        <v>39</v>
      </c>
      <c r="I489" s="14">
        <v>3900000</v>
      </c>
      <c r="J489">
        <f ca="1">INT((TODAY()-F489)/30.417)</f>
        <v>55</v>
      </c>
      <c r="K489" s="13">
        <f t="shared" ca="1" si="7"/>
        <v>0</v>
      </c>
      <c r="L489" s="8">
        <f>G489*3.7%</f>
        <v>222000.00000000003</v>
      </c>
      <c r="M489" s="8">
        <f>G489*2%</f>
        <v>120000</v>
      </c>
      <c r="N489" s="8">
        <f>G489*4%</f>
        <v>240000</v>
      </c>
      <c r="O489" s="8">
        <f>G489*1%</f>
        <v>60000</v>
      </c>
      <c r="P489">
        <v>9</v>
      </c>
      <c r="Q489" s="13">
        <f>P489*200000</f>
        <v>1800000</v>
      </c>
      <c r="R489" s="8">
        <v>2500000</v>
      </c>
      <c r="S489" s="9">
        <f>8%*G489</f>
        <v>480000</v>
      </c>
    </row>
    <row r="490" spans="1:19" x14ac:dyDescent="0.3">
      <c r="A490">
        <v>488</v>
      </c>
      <c r="B490" s="10" t="s">
        <v>1004</v>
      </c>
      <c r="C490" s="10" t="s">
        <v>1005</v>
      </c>
      <c r="D490" s="11" t="str">
        <f>VLOOKUP(MID(B490,6,1),'Tabel Acuan'!$A$10:$B$17,2,0)</f>
        <v>Sales</v>
      </c>
      <c r="E490" t="str">
        <f>VLOOKUP(MID(B490,8,2),'Tabel Acuan'!$A$1:$B$6,2,0)</f>
        <v>Senior Staff</v>
      </c>
      <c r="F490" s="12">
        <v>43128</v>
      </c>
      <c r="G490" s="8" cm="1">
        <f t="array" ref="G490">INDEX('Tabel Acuan'!$F$4:$F$39,
MATCH(1,('Tabel Acuan'!$D$4:$D$39='Data Gaji Pegawai'!D490)*('Tabel Acuan'!$E$4:$E$39='Data Gaji Pegawai'!E490),0))</f>
        <v>6000000</v>
      </c>
      <c r="H490">
        <f>I490/100000</f>
        <v>52</v>
      </c>
      <c r="I490" s="14">
        <v>5200000</v>
      </c>
      <c r="J490">
        <f ca="1">INT((TODAY()-F490)/30.417)</f>
        <v>101</v>
      </c>
      <c r="K490" s="13">
        <f t="shared" ca="1" si="7"/>
        <v>0</v>
      </c>
      <c r="L490" s="8">
        <f>G490*3.7%</f>
        <v>222000.00000000003</v>
      </c>
      <c r="M490" s="8">
        <f>G490*2%</f>
        <v>120000</v>
      </c>
      <c r="N490" s="8">
        <f>G490*4%</f>
        <v>240000</v>
      </c>
      <c r="O490" s="8">
        <f>G490*1%</f>
        <v>60000</v>
      </c>
      <c r="P490">
        <v>7</v>
      </c>
      <c r="Q490" s="13">
        <f>P490*200000</f>
        <v>1400000</v>
      </c>
      <c r="R490" s="8">
        <v>1250000</v>
      </c>
      <c r="S490" s="9">
        <f>8%*G490</f>
        <v>480000</v>
      </c>
    </row>
    <row r="491" spans="1:19" x14ac:dyDescent="0.3">
      <c r="A491">
        <v>489</v>
      </c>
      <c r="B491" s="10" t="s">
        <v>1006</v>
      </c>
      <c r="C491" s="10" t="s">
        <v>271</v>
      </c>
      <c r="D491" s="11" t="str">
        <f>VLOOKUP(MID(B491,6,1),'Tabel Acuan'!$A$10:$B$17,2,0)</f>
        <v>Operations</v>
      </c>
      <c r="E491" t="str">
        <f>VLOOKUP(MID(B491,8,2),'Tabel Acuan'!$A$1:$B$6,2,0)</f>
        <v>Senior Staff</v>
      </c>
      <c r="F491" s="12">
        <v>45263</v>
      </c>
      <c r="G491" s="8" cm="1">
        <f t="array" ref="G491">INDEX('Tabel Acuan'!$F$4:$F$39,
MATCH(1,('Tabel Acuan'!$D$4:$D$39='Data Gaji Pegawai'!D491)*('Tabel Acuan'!$E$4:$E$39='Data Gaji Pegawai'!E491),0))</f>
        <v>6300000</v>
      </c>
      <c r="H491">
        <f>I491/100000</f>
        <v>23</v>
      </c>
      <c r="I491" s="14">
        <v>2300000</v>
      </c>
      <c r="J491">
        <f ca="1">INT((TODAY()-F491)/30.417)</f>
        <v>30</v>
      </c>
      <c r="K491" s="13">
        <f t="shared" ca="1" si="7"/>
        <v>0</v>
      </c>
      <c r="L491" s="8">
        <f>G491*3.7%</f>
        <v>233100.00000000003</v>
      </c>
      <c r="M491" s="8">
        <f>G491*2%</f>
        <v>126000</v>
      </c>
      <c r="N491" s="8">
        <f>G491*4%</f>
        <v>252000</v>
      </c>
      <c r="O491" s="8">
        <f>G491*1%</f>
        <v>63000</v>
      </c>
      <c r="P491">
        <v>14</v>
      </c>
      <c r="Q491" s="13">
        <f>P491*200000</f>
        <v>2800000</v>
      </c>
      <c r="R491" s="8">
        <v>0</v>
      </c>
      <c r="S491" s="9">
        <f>8%*G491</f>
        <v>504000</v>
      </c>
    </row>
    <row r="492" spans="1:19" x14ac:dyDescent="0.3">
      <c r="A492">
        <v>490</v>
      </c>
      <c r="B492" s="10" t="s">
        <v>1007</v>
      </c>
      <c r="C492" s="10" t="s">
        <v>1008</v>
      </c>
      <c r="D492" s="11" t="str">
        <f>VLOOKUP(MID(B492,6,1),'Tabel Acuan'!$A$10:$B$17,2,0)</f>
        <v>Finance</v>
      </c>
      <c r="E492" t="str">
        <f>VLOOKUP(MID(B492,8,2),'Tabel Acuan'!$A$1:$B$6,2,0)</f>
        <v>Staff</v>
      </c>
      <c r="F492" s="12">
        <v>45807</v>
      </c>
      <c r="G492" s="8" cm="1">
        <f t="array" ref="G492">INDEX('Tabel Acuan'!$F$4:$F$39,
MATCH(1,('Tabel Acuan'!$D$4:$D$39='Data Gaji Pegawai'!D492)*('Tabel Acuan'!$E$4:$E$39='Data Gaji Pegawai'!E492),0))</f>
        <v>5500000</v>
      </c>
      <c r="H492">
        <f>I492/100000</f>
        <v>35</v>
      </c>
      <c r="I492" s="14">
        <v>3500000</v>
      </c>
      <c r="J492">
        <f ca="1">INT((TODAY()-F492)/30.417)</f>
        <v>13</v>
      </c>
      <c r="K492" s="13">
        <f t="shared" ca="1" si="7"/>
        <v>0</v>
      </c>
      <c r="L492" s="8">
        <f>G492*3.7%</f>
        <v>203500.00000000003</v>
      </c>
      <c r="M492" s="8">
        <f>G492*2%</f>
        <v>110000</v>
      </c>
      <c r="N492" s="8">
        <f>G492*4%</f>
        <v>220000</v>
      </c>
      <c r="O492" s="8">
        <f>G492*1%</f>
        <v>55000</v>
      </c>
      <c r="P492">
        <v>11</v>
      </c>
      <c r="Q492" s="13">
        <f>P492*200000</f>
        <v>2200000</v>
      </c>
      <c r="R492" s="8">
        <v>250000</v>
      </c>
      <c r="S492" s="9">
        <f>8%*G492</f>
        <v>440000</v>
      </c>
    </row>
    <row r="493" spans="1:19" x14ac:dyDescent="0.3">
      <c r="A493">
        <v>491</v>
      </c>
      <c r="B493" s="10" t="s">
        <v>1009</v>
      </c>
      <c r="C493" s="10" t="s">
        <v>1010</v>
      </c>
      <c r="D493" s="11" t="str">
        <f>VLOOKUP(MID(B493,6,1),'Tabel Acuan'!$A$10:$B$17,2,0)</f>
        <v>Information Technology (IT)</v>
      </c>
      <c r="E493" t="str">
        <f>VLOOKUP(MID(B493,8,2),'Tabel Acuan'!$A$1:$B$6,2,0)</f>
        <v>Staff</v>
      </c>
      <c r="F493" s="12">
        <v>42945</v>
      </c>
      <c r="G493" s="8" cm="1">
        <f t="array" ref="G493">INDEX('Tabel Acuan'!$F$4:$F$39,
MATCH(1,('Tabel Acuan'!$D$4:$D$39='Data Gaji Pegawai'!D493)*('Tabel Acuan'!$E$4:$E$39='Data Gaji Pegawai'!E493),0))</f>
        <v>6000000</v>
      </c>
      <c r="H493">
        <f>I493/100000</f>
        <v>6</v>
      </c>
      <c r="I493" s="14">
        <v>600000</v>
      </c>
      <c r="J493">
        <f ca="1">INT((TODAY()-F493)/30.417)</f>
        <v>107</v>
      </c>
      <c r="K493" s="13">
        <f t="shared" ca="1" si="7"/>
        <v>0</v>
      </c>
      <c r="L493" s="8">
        <f>G493*3.7%</f>
        <v>222000.00000000003</v>
      </c>
      <c r="M493" s="8">
        <f>G493*2%</f>
        <v>120000</v>
      </c>
      <c r="N493" s="8">
        <f>G493*4%</f>
        <v>240000</v>
      </c>
      <c r="O493" s="8">
        <f>G493*1%</f>
        <v>60000</v>
      </c>
      <c r="P493">
        <v>8</v>
      </c>
      <c r="Q493" s="13">
        <f>P493*200000</f>
        <v>1600000</v>
      </c>
      <c r="R493" s="8">
        <v>750000</v>
      </c>
      <c r="S493" s="9">
        <f>8%*G493</f>
        <v>480000</v>
      </c>
    </row>
    <row r="494" spans="1:19" x14ac:dyDescent="0.3">
      <c r="A494">
        <v>492</v>
      </c>
      <c r="B494" s="10" t="s">
        <v>1011</v>
      </c>
      <c r="C494" s="10" t="s">
        <v>1012</v>
      </c>
      <c r="D494" s="11" t="str">
        <f>VLOOKUP(MID(B494,6,1),'Tabel Acuan'!$A$10:$B$17,2,0)</f>
        <v>Operations</v>
      </c>
      <c r="E494" t="str">
        <f>VLOOKUP(MID(B494,8,2),'Tabel Acuan'!$A$1:$B$6,2,0)</f>
        <v>Staff</v>
      </c>
      <c r="F494" s="12">
        <v>42543</v>
      </c>
      <c r="G494" s="8" cm="1">
        <f t="array" ref="G494">INDEX('Tabel Acuan'!$F$4:$F$39,
MATCH(1,('Tabel Acuan'!$D$4:$D$39='Data Gaji Pegawai'!D494)*('Tabel Acuan'!$E$4:$E$39='Data Gaji Pegawai'!E494),0))</f>
        <v>5200000</v>
      </c>
      <c r="H494">
        <f>I494/100000</f>
        <v>6</v>
      </c>
      <c r="I494" s="14">
        <v>600000</v>
      </c>
      <c r="J494">
        <f ca="1">INT((TODAY()-F494)/30.417)</f>
        <v>120</v>
      </c>
      <c r="K494" s="13">
        <f t="shared" ca="1" si="7"/>
        <v>0</v>
      </c>
      <c r="L494" s="8">
        <f>G494*3.7%</f>
        <v>192400.00000000003</v>
      </c>
      <c r="M494" s="8">
        <f>G494*2%</f>
        <v>104000</v>
      </c>
      <c r="N494" s="8">
        <f>G494*4%</f>
        <v>208000</v>
      </c>
      <c r="O494" s="8">
        <f>G494*1%</f>
        <v>52000</v>
      </c>
      <c r="P494">
        <v>13</v>
      </c>
      <c r="Q494" s="13">
        <f>P494*200000</f>
        <v>2600000</v>
      </c>
      <c r="R494" s="8">
        <v>0</v>
      </c>
      <c r="S494" s="9">
        <f>8%*G494</f>
        <v>416000</v>
      </c>
    </row>
    <row r="495" spans="1:19" x14ac:dyDescent="0.3">
      <c r="A495">
        <v>493</v>
      </c>
      <c r="B495" s="10" t="s">
        <v>1013</v>
      </c>
      <c r="C495" s="10" t="s">
        <v>724</v>
      </c>
      <c r="D495" s="11" t="str">
        <f>VLOOKUP(MID(B495,6,1),'Tabel Acuan'!$A$10:$B$17,2,0)</f>
        <v>Operations</v>
      </c>
      <c r="E495" t="str">
        <f>VLOOKUP(MID(B495,8,2),'Tabel Acuan'!$A$1:$B$6,2,0)</f>
        <v>Senior Staff</v>
      </c>
      <c r="F495" s="12">
        <v>45888</v>
      </c>
      <c r="G495" s="8" cm="1">
        <f t="array" ref="G495">INDEX('Tabel Acuan'!$F$4:$F$39,
MATCH(1,('Tabel Acuan'!$D$4:$D$39='Data Gaji Pegawai'!D495)*('Tabel Acuan'!$E$4:$E$39='Data Gaji Pegawai'!E495),0))</f>
        <v>6300000</v>
      </c>
      <c r="H495">
        <f>I495/100000</f>
        <v>29</v>
      </c>
      <c r="I495" s="14">
        <v>2900000</v>
      </c>
      <c r="J495">
        <f ca="1">INT((TODAY()-F495)/30.417)</f>
        <v>10</v>
      </c>
      <c r="K495" s="13">
        <f t="shared" ca="1" si="7"/>
        <v>0</v>
      </c>
      <c r="L495" s="8">
        <f>G495*3.7%</f>
        <v>233100.00000000003</v>
      </c>
      <c r="M495" s="8">
        <f>G495*2%</f>
        <v>126000</v>
      </c>
      <c r="N495" s="8">
        <f>G495*4%</f>
        <v>252000</v>
      </c>
      <c r="O495" s="8">
        <f>G495*1%</f>
        <v>63000</v>
      </c>
      <c r="P495">
        <v>4</v>
      </c>
      <c r="Q495" s="13">
        <f>P495*200000</f>
        <v>800000</v>
      </c>
      <c r="R495" s="8">
        <v>250000</v>
      </c>
      <c r="S495" s="9">
        <f>8%*G495</f>
        <v>504000</v>
      </c>
    </row>
    <row r="496" spans="1:19" x14ac:dyDescent="0.3">
      <c r="A496">
        <v>494</v>
      </c>
      <c r="B496" s="10" t="s">
        <v>1014</v>
      </c>
      <c r="C496" s="10" t="s">
        <v>1015</v>
      </c>
      <c r="D496" s="11" t="str">
        <f>VLOOKUP(MID(B496,6,1),'Tabel Acuan'!$A$10:$B$17,2,0)</f>
        <v>Sales</v>
      </c>
      <c r="E496" t="str">
        <f>VLOOKUP(MID(B496,8,2),'Tabel Acuan'!$A$1:$B$6,2,0)</f>
        <v>Staff</v>
      </c>
      <c r="F496" s="12">
        <v>45174</v>
      </c>
      <c r="G496" s="8" cm="1">
        <f t="array" ref="G496">INDEX('Tabel Acuan'!$F$4:$F$39,
MATCH(1,('Tabel Acuan'!$D$4:$D$39='Data Gaji Pegawai'!D496)*('Tabel Acuan'!$E$4:$E$39='Data Gaji Pegawai'!E496),0))</f>
        <v>5000000</v>
      </c>
      <c r="H496">
        <f>I496/100000</f>
        <v>59</v>
      </c>
      <c r="I496" s="14">
        <v>5900000</v>
      </c>
      <c r="J496">
        <f ca="1">INT((TODAY()-F496)/30.417)</f>
        <v>33</v>
      </c>
      <c r="K496" s="13">
        <f t="shared" ca="1" si="7"/>
        <v>0</v>
      </c>
      <c r="L496" s="8">
        <f>G496*3.7%</f>
        <v>185000.00000000003</v>
      </c>
      <c r="M496" s="8">
        <f>G496*2%</f>
        <v>100000</v>
      </c>
      <c r="N496" s="8">
        <f>G496*4%</f>
        <v>200000</v>
      </c>
      <c r="O496" s="8">
        <f>G496*1%</f>
        <v>50000</v>
      </c>
      <c r="P496">
        <v>5</v>
      </c>
      <c r="Q496" s="13">
        <f>P496*200000</f>
        <v>1000000</v>
      </c>
      <c r="R496" s="8">
        <v>500000</v>
      </c>
      <c r="S496" s="9">
        <f>8%*G496</f>
        <v>400000</v>
      </c>
    </row>
    <row r="497" spans="1:19" x14ac:dyDescent="0.3">
      <c r="A497">
        <v>495</v>
      </c>
      <c r="B497" s="10" t="s">
        <v>1016</v>
      </c>
      <c r="C497" s="10" t="s">
        <v>1017</v>
      </c>
      <c r="D497" s="11" t="str">
        <f>VLOOKUP(MID(B497,6,1),'Tabel Acuan'!$A$10:$B$17,2,0)</f>
        <v>Human Resources (HR)</v>
      </c>
      <c r="E497" t="str">
        <f>VLOOKUP(MID(B497,8,2),'Tabel Acuan'!$A$1:$B$6,2,0)</f>
        <v>Staff</v>
      </c>
      <c r="F497" s="12">
        <v>42900</v>
      </c>
      <c r="G497" s="8" cm="1">
        <f t="array" ref="G497">INDEX('Tabel Acuan'!$F$4:$F$39,
MATCH(1,('Tabel Acuan'!$D$4:$D$39='Data Gaji Pegawai'!D497)*('Tabel Acuan'!$E$4:$E$39='Data Gaji Pegawai'!E497),0))</f>
        <v>5000000</v>
      </c>
      <c r="H497">
        <f>I497/100000</f>
        <v>32</v>
      </c>
      <c r="I497" s="14">
        <v>3200000</v>
      </c>
      <c r="J497">
        <f ca="1">INT((TODAY()-F497)/30.417)</f>
        <v>108</v>
      </c>
      <c r="K497" s="13">
        <f t="shared" ca="1" si="7"/>
        <v>0</v>
      </c>
      <c r="L497" s="8">
        <f>G497*3.7%</f>
        <v>185000.00000000003</v>
      </c>
      <c r="M497" s="8">
        <f>G497*2%</f>
        <v>100000</v>
      </c>
      <c r="N497" s="8">
        <f>G497*4%</f>
        <v>200000</v>
      </c>
      <c r="O497" s="8">
        <f>G497*1%</f>
        <v>50000</v>
      </c>
      <c r="P497">
        <v>12</v>
      </c>
      <c r="Q497" s="13">
        <f>P497*200000</f>
        <v>2400000</v>
      </c>
      <c r="R497" s="8">
        <v>3000000</v>
      </c>
      <c r="S497" s="9">
        <f>8%*G497</f>
        <v>400000</v>
      </c>
    </row>
    <row r="498" spans="1:19" x14ac:dyDescent="0.3">
      <c r="A498">
        <v>496</v>
      </c>
      <c r="B498" s="10" t="s">
        <v>1018</v>
      </c>
      <c r="C498" s="10" t="s">
        <v>1019</v>
      </c>
      <c r="D498" s="11" t="str">
        <f>VLOOKUP(MID(B498,6,1),'Tabel Acuan'!$A$10:$B$17,2,0)</f>
        <v>Logistics</v>
      </c>
      <c r="E498" t="str">
        <f>VLOOKUP(MID(B498,8,2),'Tabel Acuan'!$A$1:$B$6,2,0)</f>
        <v>Staff</v>
      </c>
      <c r="F498" s="12">
        <v>43332</v>
      </c>
      <c r="G498" s="8" cm="1">
        <f t="array" ref="G498">INDEX('Tabel Acuan'!$F$4:$F$39,
MATCH(1,('Tabel Acuan'!$D$4:$D$39='Data Gaji Pegawai'!D498)*('Tabel Acuan'!$E$4:$E$39='Data Gaji Pegawai'!E498),0))</f>
        <v>5200000</v>
      </c>
      <c r="H498">
        <f>I498/100000</f>
        <v>51</v>
      </c>
      <c r="I498" s="14">
        <v>5100000</v>
      </c>
      <c r="J498">
        <f ca="1">INT((TODAY()-F498)/30.417)</f>
        <v>94</v>
      </c>
      <c r="K498" s="13">
        <f t="shared" ca="1" si="7"/>
        <v>0</v>
      </c>
      <c r="L498" s="8">
        <f>G498*3.7%</f>
        <v>192400.00000000003</v>
      </c>
      <c r="M498" s="8">
        <f>G498*2%</f>
        <v>104000</v>
      </c>
      <c r="N498" s="8">
        <f>G498*4%</f>
        <v>208000</v>
      </c>
      <c r="O498" s="8">
        <f>G498*1%</f>
        <v>52000</v>
      </c>
      <c r="P498">
        <v>4</v>
      </c>
      <c r="Q498" s="13">
        <f>P498*200000</f>
        <v>800000</v>
      </c>
      <c r="R498" s="8">
        <v>0</v>
      </c>
      <c r="S498" s="9">
        <f>8%*G498</f>
        <v>416000</v>
      </c>
    </row>
    <row r="499" spans="1:19" x14ac:dyDescent="0.3">
      <c r="A499">
        <v>497</v>
      </c>
      <c r="B499" s="10" t="s">
        <v>1020</v>
      </c>
      <c r="C499" s="10" t="s">
        <v>1021</v>
      </c>
      <c r="D499" s="11" t="str">
        <f>VLOOKUP(MID(B499,6,1),'Tabel Acuan'!$A$10:$B$17,2,0)</f>
        <v>Sales</v>
      </c>
      <c r="E499" t="str">
        <f>VLOOKUP(MID(B499,8,2),'Tabel Acuan'!$A$1:$B$6,2,0)</f>
        <v>Assistant Manager</v>
      </c>
      <c r="F499" s="12">
        <v>45651</v>
      </c>
      <c r="G499" s="8" cm="1">
        <f t="array" ref="G499">INDEX('Tabel Acuan'!$F$4:$F$39,
MATCH(1,('Tabel Acuan'!$D$4:$D$39='Data Gaji Pegawai'!D499)*('Tabel Acuan'!$E$4:$E$39='Data Gaji Pegawai'!E499),0))</f>
        <v>9500000</v>
      </c>
      <c r="H499">
        <f>I499/100000</f>
        <v>35</v>
      </c>
      <c r="I499" s="14">
        <v>3500000</v>
      </c>
      <c r="J499">
        <f ca="1">INT((TODAY()-F499)/30.417)</f>
        <v>18</v>
      </c>
      <c r="K499" s="13">
        <f t="shared" ca="1" si="7"/>
        <v>0</v>
      </c>
      <c r="L499" s="8">
        <f>G499*3.7%</f>
        <v>351500.00000000006</v>
      </c>
      <c r="M499" s="8">
        <f>G499*2%</f>
        <v>190000</v>
      </c>
      <c r="N499" s="8">
        <f>G499*4%</f>
        <v>380000</v>
      </c>
      <c r="O499" s="8">
        <f>G499*1%</f>
        <v>95000</v>
      </c>
      <c r="P499">
        <v>10</v>
      </c>
      <c r="Q499" s="13">
        <f>P499*200000</f>
        <v>2000000</v>
      </c>
      <c r="R499" s="8">
        <v>2500000</v>
      </c>
      <c r="S499" s="9">
        <f>8%*G499</f>
        <v>760000</v>
      </c>
    </row>
    <row r="500" spans="1:19" x14ac:dyDescent="0.3">
      <c r="A500">
        <v>498</v>
      </c>
      <c r="B500" s="10" t="s">
        <v>1022</v>
      </c>
      <c r="C500" s="10" t="s">
        <v>1023</v>
      </c>
      <c r="D500" s="11" t="str">
        <f>VLOOKUP(MID(B500,6,1),'Tabel Acuan'!$A$10:$B$17,2,0)</f>
        <v>Finance</v>
      </c>
      <c r="E500" t="str">
        <f>VLOOKUP(MID(B500,8,2),'Tabel Acuan'!$A$1:$B$6,2,0)</f>
        <v>Staff</v>
      </c>
      <c r="F500" s="12">
        <v>45806</v>
      </c>
      <c r="G500" s="8" cm="1">
        <f t="array" ref="G500">INDEX('Tabel Acuan'!$F$4:$F$39,
MATCH(1,('Tabel Acuan'!$D$4:$D$39='Data Gaji Pegawai'!D500)*('Tabel Acuan'!$E$4:$E$39='Data Gaji Pegawai'!E500),0))</f>
        <v>5500000</v>
      </c>
      <c r="H500">
        <f>I500/100000</f>
        <v>43</v>
      </c>
      <c r="I500" s="14">
        <v>4300000</v>
      </c>
      <c r="J500">
        <f ca="1">INT((TODAY()-F500)/30.417)</f>
        <v>13</v>
      </c>
      <c r="K500" s="13">
        <f t="shared" ca="1" si="7"/>
        <v>0</v>
      </c>
      <c r="L500" s="8">
        <f>G500*3.7%</f>
        <v>203500.00000000003</v>
      </c>
      <c r="M500" s="8">
        <f>G500*2%</f>
        <v>110000</v>
      </c>
      <c r="N500" s="8">
        <f>G500*4%</f>
        <v>220000</v>
      </c>
      <c r="O500" s="8">
        <f>G500*1%</f>
        <v>55000</v>
      </c>
      <c r="P500">
        <v>11</v>
      </c>
      <c r="Q500" s="13">
        <f>P500*200000</f>
        <v>2200000</v>
      </c>
      <c r="R500" s="8">
        <v>500000</v>
      </c>
      <c r="S500" s="9">
        <f>8%*G500</f>
        <v>440000</v>
      </c>
    </row>
    <row r="501" spans="1:19" x14ac:dyDescent="0.3">
      <c r="A501">
        <v>499</v>
      </c>
      <c r="B501" s="10" t="s">
        <v>1024</v>
      </c>
      <c r="C501" s="10" t="s">
        <v>1025</v>
      </c>
      <c r="D501" s="11" t="str">
        <f>VLOOKUP(MID(B501,6,1),'Tabel Acuan'!$A$10:$B$17,2,0)</f>
        <v>Finance</v>
      </c>
      <c r="E501" t="str">
        <f>VLOOKUP(MID(B501,8,2),'Tabel Acuan'!$A$1:$B$6,2,0)</f>
        <v>Senior Staff</v>
      </c>
      <c r="F501" s="12">
        <v>45823</v>
      </c>
      <c r="G501" s="8" cm="1">
        <f t="array" ref="G501">INDEX('Tabel Acuan'!$F$4:$F$39,
MATCH(1,('Tabel Acuan'!$D$4:$D$39='Data Gaji Pegawai'!D501)*('Tabel Acuan'!$E$4:$E$39='Data Gaji Pegawai'!E501),0))</f>
        <v>6600000</v>
      </c>
      <c r="H501">
        <f>I501/100000</f>
        <v>45</v>
      </c>
      <c r="I501" s="14">
        <v>4500000</v>
      </c>
      <c r="J501">
        <f ca="1">INT((TODAY()-F501)/30.417)</f>
        <v>12</v>
      </c>
      <c r="K501" s="13">
        <f t="shared" ca="1" si="7"/>
        <v>0</v>
      </c>
      <c r="L501" s="8">
        <f>G501*3.7%</f>
        <v>244200.00000000003</v>
      </c>
      <c r="M501" s="8">
        <f>G501*2%</f>
        <v>132000</v>
      </c>
      <c r="N501" s="8">
        <f>G501*4%</f>
        <v>264000</v>
      </c>
      <c r="O501" s="8">
        <f>G501*1%</f>
        <v>66000</v>
      </c>
      <c r="P501">
        <v>3</v>
      </c>
      <c r="Q501" s="13">
        <f>P501*200000</f>
        <v>600000</v>
      </c>
      <c r="R501" s="8">
        <v>2500000</v>
      </c>
      <c r="S501" s="9">
        <f>8%*G501</f>
        <v>528000</v>
      </c>
    </row>
    <row r="502" spans="1:19" x14ac:dyDescent="0.3">
      <c r="A502">
        <v>500</v>
      </c>
      <c r="B502" s="10" t="s">
        <v>1026</v>
      </c>
      <c r="C502" s="10" t="s">
        <v>1027</v>
      </c>
      <c r="D502" s="11" t="str">
        <f>VLOOKUP(MID(B502,6,1),'Tabel Acuan'!$A$10:$B$17,2,0)</f>
        <v>Marketing</v>
      </c>
      <c r="E502" t="str">
        <f>VLOOKUP(MID(B502,8,2),'Tabel Acuan'!$A$1:$B$6,2,0)</f>
        <v>Senior Staff</v>
      </c>
      <c r="F502" s="12">
        <v>44775</v>
      </c>
      <c r="G502" s="8" cm="1">
        <f t="array" ref="G502">INDEX('Tabel Acuan'!$F$4:$F$39,
MATCH(1,('Tabel Acuan'!$D$4:$D$39='Data Gaji Pegawai'!D502)*('Tabel Acuan'!$E$4:$E$39='Data Gaji Pegawai'!E502),0))</f>
        <v>6400000</v>
      </c>
      <c r="H502">
        <f>I502/100000</f>
        <v>43</v>
      </c>
      <c r="I502" s="14">
        <v>4300000</v>
      </c>
      <c r="J502">
        <f ca="1">INT((TODAY()-F502)/30.417)</f>
        <v>47</v>
      </c>
      <c r="K502" s="13">
        <f t="shared" ca="1" si="7"/>
        <v>0</v>
      </c>
      <c r="L502" s="8">
        <f>G502*3.7%</f>
        <v>236800.00000000003</v>
      </c>
      <c r="M502" s="8">
        <f>G502*2%</f>
        <v>128000</v>
      </c>
      <c r="N502" s="8">
        <f>G502*4%</f>
        <v>256000</v>
      </c>
      <c r="O502" s="8">
        <f>G502*1%</f>
        <v>64000</v>
      </c>
      <c r="P502">
        <v>9</v>
      </c>
      <c r="Q502" s="13">
        <f>P502*200000</f>
        <v>1800000</v>
      </c>
      <c r="R502" s="8">
        <v>1500000</v>
      </c>
      <c r="S502" s="9">
        <f>8%*G502</f>
        <v>512000</v>
      </c>
    </row>
    <row r="503" spans="1:19" x14ac:dyDescent="0.3">
      <c r="A503">
        <v>501</v>
      </c>
      <c r="B503" s="10" t="s">
        <v>1028</v>
      </c>
      <c r="C503" s="10" t="s">
        <v>1029</v>
      </c>
      <c r="D503" s="11" t="str">
        <f>VLOOKUP(MID(B503,6,1),'Tabel Acuan'!$A$10:$B$17,2,0)</f>
        <v>Marketing</v>
      </c>
      <c r="E503" t="str">
        <f>VLOOKUP(MID(B503,8,2),'Tabel Acuan'!$A$1:$B$6,2,0)</f>
        <v>Staff</v>
      </c>
      <c r="F503" s="12">
        <v>42032</v>
      </c>
      <c r="G503" s="8" cm="1">
        <f t="array" ref="G503">INDEX('Tabel Acuan'!$F$4:$F$39,
MATCH(1,('Tabel Acuan'!$D$4:$D$39='Data Gaji Pegawai'!D503)*('Tabel Acuan'!$E$4:$E$39='Data Gaji Pegawai'!E503),0))</f>
        <v>5300000</v>
      </c>
      <c r="H503">
        <f>I503/100000</f>
        <v>42</v>
      </c>
      <c r="I503" s="14">
        <v>4200000</v>
      </c>
      <c r="J503">
        <f ca="1">INT((TODAY()-F503)/30.417)</f>
        <v>137</v>
      </c>
      <c r="K503" s="13">
        <f t="shared" ca="1" si="7"/>
        <v>0</v>
      </c>
      <c r="L503" s="8">
        <f>G503*3.7%</f>
        <v>196100.00000000003</v>
      </c>
      <c r="M503" s="8">
        <f>G503*2%</f>
        <v>106000</v>
      </c>
      <c r="N503" s="8">
        <f>G503*4%</f>
        <v>212000</v>
      </c>
      <c r="O503" s="8">
        <f>G503*1%</f>
        <v>53000</v>
      </c>
      <c r="P503">
        <v>1</v>
      </c>
      <c r="Q503" s="13">
        <f>P503*200000</f>
        <v>200000</v>
      </c>
      <c r="R503" s="8">
        <v>0</v>
      </c>
      <c r="S503" s="9">
        <f>8%*G503</f>
        <v>424000</v>
      </c>
    </row>
    <row r="504" spans="1:19" x14ac:dyDescent="0.3">
      <c r="A504">
        <v>502</v>
      </c>
      <c r="B504" s="10" t="s">
        <v>1030</v>
      </c>
      <c r="C504" s="10" t="s">
        <v>1031</v>
      </c>
      <c r="D504" s="11" t="str">
        <f>VLOOKUP(MID(B504,6,1),'Tabel Acuan'!$A$10:$B$17,2,0)</f>
        <v>Logistics</v>
      </c>
      <c r="E504" t="str">
        <f>VLOOKUP(MID(B504,8,2),'Tabel Acuan'!$A$1:$B$6,2,0)</f>
        <v>Supervisor</v>
      </c>
      <c r="F504" s="12">
        <v>43089</v>
      </c>
      <c r="G504" s="8" cm="1">
        <f t="array" ref="G504">INDEX('Tabel Acuan'!$F$4:$F$39,
MATCH(1,('Tabel Acuan'!$D$4:$D$39='Data Gaji Pegawai'!D504)*('Tabel Acuan'!$E$4:$E$39='Data Gaji Pegawai'!E504),0))</f>
        <v>7500000</v>
      </c>
      <c r="H504">
        <f>I504/100000</f>
        <v>50</v>
      </c>
      <c r="I504" s="14">
        <v>5000000</v>
      </c>
      <c r="J504">
        <f ca="1">INT((TODAY()-F504)/30.417)</f>
        <v>102</v>
      </c>
      <c r="K504" s="13">
        <f t="shared" ca="1" si="7"/>
        <v>0</v>
      </c>
      <c r="L504" s="8">
        <f>G504*3.7%</f>
        <v>277500.00000000006</v>
      </c>
      <c r="M504" s="8">
        <f>G504*2%</f>
        <v>150000</v>
      </c>
      <c r="N504" s="8">
        <f>G504*4%</f>
        <v>300000</v>
      </c>
      <c r="O504" s="8">
        <f>G504*1%</f>
        <v>75000</v>
      </c>
      <c r="P504">
        <v>9</v>
      </c>
      <c r="Q504" s="13">
        <f>P504*200000</f>
        <v>1800000</v>
      </c>
      <c r="R504" s="8">
        <v>0</v>
      </c>
      <c r="S504" s="9">
        <f>8%*G504</f>
        <v>600000</v>
      </c>
    </row>
    <row r="505" spans="1:19" x14ac:dyDescent="0.3">
      <c r="A505">
        <v>503</v>
      </c>
      <c r="B505" s="10" t="s">
        <v>1032</v>
      </c>
      <c r="C505" s="10" t="s">
        <v>1033</v>
      </c>
      <c r="D505" s="11" t="str">
        <f>VLOOKUP(MID(B505,6,1),'Tabel Acuan'!$A$10:$B$17,2,0)</f>
        <v>Human Resources (HR)</v>
      </c>
      <c r="E505" t="str">
        <f>VLOOKUP(MID(B505,8,2),'Tabel Acuan'!$A$1:$B$6,2,0)</f>
        <v>Staff</v>
      </c>
      <c r="F505" s="12">
        <v>45242</v>
      </c>
      <c r="G505" s="8" cm="1">
        <f t="array" ref="G505">INDEX('Tabel Acuan'!$F$4:$F$39,
MATCH(1,('Tabel Acuan'!$D$4:$D$39='Data Gaji Pegawai'!D505)*('Tabel Acuan'!$E$4:$E$39='Data Gaji Pegawai'!E505),0))</f>
        <v>5000000</v>
      </c>
      <c r="H505">
        <f>I505/100000</f>
        <v>55</v>
      </c>
      <c r="I505" s="14">
        <v>5500000</v>
      </c>
      <c r="J505">
        <f ca="1">INT((TODAY()-F505)/30.417)</f>
        <v>31</v>
      </c>
      <c r="K505" s="13">
        <f t="shared" ca="1" si="7"/>
        <v>0</v>
      </c>
      <c r="L505" s="8">
        <f>G505*3.7%</f>
        <v>185000.00000000003</v>
      </c>
      <c r="M505" s="8">
        <f>G505*2%</f>
        <v>100000</v>
      </c>
      <c r="N505" s="8">
        <f>G505*4%</f>
        <v>200000</v>
      </c>
      <c r="O505" s="8">
        <f>G505*1%</f>
        <v>50000</v>
      </c>
      <c r="P505">
        <v>7</v>
      </c>
      <c r="Q505" s="13">
        <f>P505*200000</f>
        <v>1400000</v>
      </c>
      <c r="R505" s="8">
        <v>2500000</v>
      </c>
      <c r="S505" s="9">
        <f>8%*G505</f>
        <v>400000</v>
      </c>
    </row>
    <row r="506" spans="1:19" x14ac:dyDescent="0.3">
      <c r="A506">
        <v>504</v>
      </c>
      <c r="B506" s="10" t="s">
        <v>1034</v>
      </c>
      <c r="C506" s="10" t="s">
        <v>1035</v>
      </c>
      <c r="D506" s="11" t="str">
        <f>VLOOKUP(MID(B506,6,1),'Tabel Acuan'!$A$10:$B$17,2,0)</f>
        <v>Finance</v>
      </c>
      <c r="E506" t="str">
        <f>VLOOKUP(MID(B506,8,2),'Tabel Acuan'!$A$1:$B$6,2,0)</f>
        <v>Senior Staff</v>
      </c>
      <c r="F506" s="12">
        <v>44551</v>
      </c>
      <c r="G506" s="8" cm="1">
        <f t="array" ref="G506">INDEX('Tabel Acuan'!$F$4:$F$39,
MATCH(1,('Tabel Acuan'!$D$4:$D$39='Data Gaji Pegawai'!D506)*('Tabel Acuan'!$E$4:$E$39='Data Gaji Pegawai'!E506),0))</f>
        <v>6600000</v>
      </c>
      <c r="H506">
        <f>I506/100000</f>
        <v>42</v>
      </c>
      <c r="I506" s="14">
        <v>4200000</v>
      </c>
      <c r="J506">
        <f ca="1">INT((TODAY()-F506)/30.417)</f>
        <v>54</v>
      </c>
      <c r="K506" s="13">
        <f t="shared" ca="1" si="7"/>
        <v>0</v>
      </c>
      <c r="L506" s="8">
        <f>G506*3.7%</f>
        <v>244200.00000000003</v>
      </c>
      <c r="M506" s="8">
        <f>G506*2%</f>
        <v>132000</v>
      </c>
      <c r="N506" s="8">
        <f>G506*4%</f>
        <v>264000</v>
      </c>
      <c r="O506" s="8">
        <f>G506*1%</f>
        <v>66000</v>
      </c>
      <c r="P506">
        <v>1</v>
      </c>
      <c r="Q506" s="13">
        <f>P506*200000</f>
        <v>200000</v>
      </c>
      <c r="R506" s="8">
        <v>1500000</v>
      </c>
      <c r="S506" s="9">
        <f>8%*G506</f>
        <v>528000</v>
      </c>
    </row>
    <row r="507" spans="1:19" x14ac:dyDescent="0.3">
      <c r="A507">
        <v>505</v>
      </c>
      <c r="B507" s="10" t="s">
        <v>1036</v>
      </c>
      <c r="C507" s="10" t="s">
        <v>1037</v>
      </c>
      <c r="D507" s="11" t="str">
        <f>VLOOKUP(MID(B507,6,1),'Tabel Acuan'!$A$10:$B$17,2,0)</f>
        <v>Operations</v>
      </c>
      <c r="E507" t="str">
        <f>VLOOKUP(MID(B507,8,2),'Tabel Acuan'!$A$1:$B$6,2,0)</f>
        <v>Manager</v>
      </c>
      <c r="F507" s="12">
        <v>44224</v>
      </c>
      <c r="G507" s="8" cm="1">
        <f t="array" ref="G507">INDEX('Tabel Acuan'!$F$4:$F$39,
MATCH(1,('Tabel Acuan'!$D$4:$D$39='Data Gaji Pegawai'!D507)*('Tabel Acuan'!$E$4:$E$39='Data Gaji Pegawai'!E507),0))</f>
        <v>13000000</v>
      </c>
      <c r="H507">
        <f>I507/100000</f>
        <v>0</v>
      </c>
      <c r="I507" s="14">
        <v>0</v>
      </c>
      <c r="J507">
        <f ca="1">INT((TODAY()-F507)/30.417)</f>
        <v>65</v>
      </c>
      <c r="K507" s="13">
        <f t="shared" ca="1" si="7"/>
        <v>0</v>
      </c>
      <c r="L507" s="8">
        <f>G507*3.7%</f>
        <v>481000.00000000006</v>
      </c>
      <c r="M507" s="8">
        <f>G507*2%</f>
        <v>260000</v>
      </c>
      <c r="N507" s="8">
        <f>G507*4%</f>
        <v>520000</v>
      </c>
      <c r="O507" s="8">
        <f>G507*1%</f>
        <v>130000</v>
      </c>
      <c r="P507">
        <v>8</v>
      </c>
      <c r="Q507" s="13">
        <f>P507*200000</f>
        <v>1600000</v>
      </c>
      <c r="R507" s="8">
        <v>0</v>
      </c>
      <c r="S507" s="9">
        <f>8%*G507</f>
        <v>1040000</v>
      </c>
    </row>
    <row r="508" spans="1:19" x14ac:dyDescent="0.3">
      <c r="A508">
        <v>506</v>
      </c>
      <c r="B508" s="10" t="s">
        <v>1038</v>
      </c>
      <c r="C508" s="10" t="s">
        <v>1039</v>
      </c>
      <c r="D508" s="11" t="str">
        <f>VLOOKUP(MID(B508,6,1),'Tabel Acuan'!$A$10:$B$17,2,0)</f>
        <v>Operations</v>
      </c>
      <c r="E508" t="str">
        <f>VLOOKUP(MID(B508,8,2),'Tabel Acuan'!$A$1:$B$6,2,0)</f>
        <v>Staff</v>
      </c>
      <c r="F508" s="12">
        <v>44925</v>
      </c>
      <c r="G508" s="8" cm="1">
        <f t="array" ref="G508">INDEX('Tabel Acuan'!$F$4:$F$39,
MATCH(1,('Tabel Acuan'!$D$4:$D$39='Data Gaji Pegawai'!D508)*('Tabel Acuan'!$E$4:$E$39='Data Gaji Pegawai'!E508),0))</f>
        <v>5200000</v>
      </c>
      <c r="H508">
        <f>I508/100000</f>
        <v>41</v>
      </c>
      <c r="I508" s="14">
        <v>4100000</v>
      </c>
      <c r="J508">
        <f ca="1">INT((TODAY()-F508)/30.417)</f>
        <v>42</v>
      </c>
      <c r="K508" s="13">
        <f t="shared" ca="1" si="7"/>
        <v>0</v>
      </c>
      <c r="L508" s="8">
        <f>G508*3.7%</f>
        <v>192400.00000000003</v>
      </c>
      <c r="M508" s="8">
        <f>G508*2%</f>
        <v>104000</v>
      </c>
      <c r="N508" s="8">
        <f>G508*4%</f>
        <v>208000</v>
      </c>
      <c r="O508" s="8">
        <f>G508*1%</f>
        <v>52000</v>
      </c>
      <c r="P508">
        <v>11</v>
      </c>
      <c r="Q508" s="13">
        <f>P508*200000</f>
        <v>2200000</v>
      </c>
      <c r="R508" s="8">
        <v>2500000</v>
      </c>
      <c r="S508" s="9">
        <f>8%*G508</f>
        <v>416000</v>
      </c>
    </row>
    <row r="509" spans="1:19" x14ac:dyDescent="0.3">
      <c r="A509">
        <v>507</v>
      </c>
      <c r="B509" s="10" t="s">
        <v>1040</v>
      </c>
      <c r="C509" s="10" t="s">
        <v>1041</v>
      </c>
      <c r="D509" s="11" t="str">
        <f>VLOOKUP(MID(B509,6,1),'Tabel Acuan'!$A$10:$B$17,2,0)</f>
        <v>Finance</v>
      </c>
      <c r="E509" t="str">
        <f>VLOOKUP(MID(B509,8,2),'Tabel Acuan'!$A$1:$B$6,2,0)</f>
        <v>Supervisor</v>
      </c>
      <c r="F509" s="12">
        <v>45521</v>
      </c>
      <c r="G509" s="8" cm="1">
        <f t="array" ref="G509">INDEX('Tabel Acuan'!$F$4:$F$39,
MATCH(1,('Tabel Acuan'!$D$4:$D$39='Data Gaji Pegawai'!D509)*('Tabel Acuan'!$E$4:$E$39='Data Gaji Pegawai'!E509),0))</f>
        <v>8000000</v>
      </c>
      <c r="H509">
        <f>I509/100000</f>
        <v>11</v>
      </c>
      <c r="I509" s="14">
        <v>1100000</v>
      </c>
      <c r="J509">
        <f ca="1">INT((TODAY()-F509)/30.417)</f>
        <v>22</v>
      </c>
      <c r="K509" s="13">
        <f t="shared" ca="1" si="7"/>
        <v>0</v>
      </c>
      <c r="L509" s="8">
        <f>G509*3.7%</f>
        <v>296000.00000000006</v>
      </c>
      <c r="M509" s="8">
        <f>G509*2%</f>
        <v>160000</v>
      </c>
      <c r="N509" s="8">
        <f>G509*4%</f>
        <v>320000</v>
      </c>
      <c r="O509" s="8">
        <f>G509*1%</f>
        <v>80000</v>
      </c>
      <c r="P509">
        <v>2</v>
      </c>
      <c r="Q509" s="13">
        <f>P509*200000</f>
        <v>400000</v>
      </c>
      <c r="R509" s="8">
        <v>0</v>
      </c>
      <c r="S509" s="9">
        <f>8%*G509</f>
        <v>640000</v>
      </c>
    </row>
    <row r="510" spans="1:19" x14ac:dyDescent="0.3">
      <c r="A510">
        <v>508</v>
      </c>
      <c r="B510" s="10" t="s">
        <v>1042</v>
      </c>
      <c r="C510" s="10" t="s">
        <v>1043</v>
      </c>
      <c r="D510" s="11" t="str">
        <f>VLOOKUP(MID(B510,6,1),'Tabel Acuan'!$A$10:$B$17,2,0)</f>
        <v>Sales</v>
      </c>
      <c r="E510" t="str">
        <f>VLOOKUP(MID(B510,8,2),'Tabel Acuan'!$A$1:$B$6,2,0)</f>
        <v>Senior Staff</v>
      </c>
      <c r="F510" s="12">
        <v>42955</v>
      </c>
      <c r="G510" s="8" cm="1">
        <f t="array" ref="G510">INDEX('Tabel Acuan'!$F$4:$F$39,
MATCH(1,('Tabel Acuan'!$D$4:$D$39='Data Gaji Pegawai'!D510)*('Tabel Acuan'!$E$4:$E$39='Data Gaji Pegawai'!E510),0))</f>
        <v>6000000</v>
      </c>
      <c r="H510">
        <f>I510/100000</f>
        <v>17</v>
      </c>
      <c r="I510" s="14">
        <v>1700000</v>
      </c>
      <c r="J510">
        <f ca="1">INT((TODAY()-F510)/30.417)</f>
        <v>106</v>
      </c>
      <c r="K510" s="13">
        <f t="shared" ca="1" si="7"/>
        <v>0</v>
      </c>
      <c r="L510" s="8">
        <f>G510*3.7%</f>
        <v>222000.00000000003</v>
      </c>
      <c r="M510" s="8">
        <f>G510*2%</f>
        <v>120000</v>
      </c>
      <c r="N510" s="8">
        <f>G510*4%</f>
        <v>240000</v>
      </c>
      <c r="O510" s="8">
        <f>G510*1%</f>
        <v>60000</v>
      </c>
      <c r="P510">
        <v>8</v>
      </c>
      <c r="Q510" s="13">
        <f>P510*200000</f>
        <v>1600000</v>
      </c>
      <c r="R510" s="8">
        <v>0</v>
      </c>
      <c r="S510" s="9">
        <f>8%*G510</f>
        <v>480000</v>
      </c>
    </row>
    <row r="511" spans="1:19" x14ac:dyDescent="0.3">
      <c r="A511">
        <v>509</v>
      </c>
      <c r="B511" s="10" t="s">
        <v>1044</v>
      </c>
      <c r="C511" s="10" t="s">
        <v>1045</v>
      </c>
      <c r="D511" s="11" t="str">
        <f>VLOOKUP(MID(B511,6,1),'Tabel Acuan'!$A$10:$B$17,2,0)</f>
        <v>Operations</v>
      </c>
      <c r="E511" t="str">
        <f>VLOOKUP(MID(B511,8,2),'Tabel Acuan'!$A$1:$B$6,2,0)</f>
        <v>Staff</v>
      </c>
      <c r="F511" s="12">
        <v>45655</v>
      </c>
      <c r="G511" s="8" cm="1">
        <f t="array" ref="G511">INDEX('Tabel Acuan'!$F$4:$F$39,
MATCH(1,('Tabel Acuan'!$D$4:$D$39='Data Gaji Pegawai'!D511)*('Tabel Acuan'!$E$4:$E$39='Data Gaji Pegawai'!E511),0))</f>
        <v>5200000</v>
      </c>
      <c r="H511">
        <f>I511/100000</f>
        <v>59</v>
      </c>
      <c r="I511" s="14">
        <v>5900000</v>
      </c>
      <c r="J511">
        <f ca="1">INT((TODAY()-F511)/30.417)</f>
        <v>18</v>
      </c>
      <c r="K511" s="13">
        <f t="shared" ca="1" si="7"/>
        <v>0</v>
      </c>
      <c r="L511" s="8">
        <f>G511*3.7%</f>
        <v>192400.00000000003</v>
      </c>
      <c r="M511" s="8">
        <f>G511*2%</f>
        <v>104000</v>
      </c>
      <c r="N511" s="8">
        <f>G511*4%</f>
        <v>208000</v>
      </c>
      <c r="O511" s="8">
        <f>G511*1%</f>
        <v>52000</v>
      </c>
      <c r="P511">
        <v>4</v>
      </c>
      <c r="Q511" s="13">
        <f>P511*200000</f>
        <v>800000</v>
      </c>
      <c r="R511" s="8">
        <v>0</v>
      </c>
      <c r="S511" s="9">
        <f>8%*G511</f>
        <v>416000</v>
      </c>
    </row>
    <row r="512" spans="1:19" x14ac:dyDescent="0.3">
      <c r="A512">
        <v>510</v>
      </c>
      <c r="B512" s="10" t="s">
        <v>1046</v>
      </c>
      <c r="C512" s="10" t="s">
        <v>61</v>
      </c>
      <c r="D512" s="11" t="str">
        <f>VLOOKUP(MID(B512,6,1),'Tabel Acuan'!$A$10:$B$17,2,0)</f>
        <v>Marketing</v>
      </c>
      <c r="E512" t="str">
        <f>VLOOKUP(MID(B512,8,2),'Tabel Acuan'!$A$1:$B$6,2,0)</f>
        <v>Staff</v>
      </c>
      <c r="F512" s="12">
        <v>44169</v>
      </c>
      <c r="G512" s="8" cm="1">
        <f t="array" ref="G512">INDEX('Tabel Acuan'!$F$4:$F$39,
MATCH(1,('Tabel Acuan'!$D$4:$D$39='Data Gaji Pegawai'!D512)*('Tabel Acuan'!$E$4:$E$39='Data Gaji Pegawai'!E512),0))</f>
        <v>5300000</v>
      </c>
      <c r="H512">
        <f>I512/100000</f>
        <v>19</v>
      </c>
      <c r="I512" s="14">
        <v>1900000</v>
      </c>
      <c r="J512">
        <f ca="1">INT((TODAY()-F512)/30.417)</f>
        <v>66</v>
      </c>
      <c r="K512" s="13">
        <f t="shared" ca="1" si="7"/>
        <v>0</v>
      </c>
      <c r="L512" s="8">
        <f>G512*3.7%</f>
        <v>196100.00000000003</v>
      </c>
      <c r="M512" s="8">
        <f>G512*2%</f>
        <v>106000</v>
      </c>
      <c r="N512" s="8">
        <f>G512*4%</f>
        <v>212000</v>
      </c>
      <c r="O512" s="8">
        <f>G512*1%</f>
        <v>53000</v>
      </c>
      <c r="P512">
        <v>15</v>
      </c>
      <c r="Q512" s="13">
        <f>P512*200000</f>
        <v>3000000</v>
      </c>
      <c r="R512" s="8">
        <v>2500000</v>
      </c>
      <c r="S512" s="9">
        <f>8%*G512</f>
        <v>424000</v>
      </c>
    </row>
    <row r="513" spans="1:19" x14ac:dyDescent="0.3">
      <c r="A513">
        <v>511</v>
      </c>
      <c r="B513" s="10" t="s">
        <v>1047</v>
      </c>
      <c r="C513" s="10" t="s">
        <v>1048</v>
      </c>
      <c r="D513" s="11" t="str">
        <f>VLOOKUP(MID(B513,6,1),'Tabel Acuan'!$A$10:$B$17,2,0)</f>
        <v>Human Resources (HR)</v>
      </c>
      <c r="E513" t="str">
        <f>VLOOKUP(MID(B513,8,2),'Tabel Acuan'!$A$1:$B$6,2,0)</f>
        <v>Supervisor</v>
      </c>
      <c r="F513" s="12">
        <v>43943</v>
      </c>
      <c r="G513" s="8" cm="1">
        <f t="array" ref="G513">INDEX('Tabel Acuan'!$F$4:$F$39,
MATCH(1,('Tabel Acuan'!$D$4:$D$39='Data Gaji Pegawai'!D513)*('Tabel Acuan'!$E$4:$E$39='Data Gaji Pegawai'!E513),0))</f>
        <v>7250000</v>
      </c>
      <c r="H513">
        <f>I513/100000</f>
        <v>11</v>
      </c>
      <c r="I513" s="14">
        <v>1100000</v>
      </c>
      <c r="J513">
        <f ca="1">INT((TODAY()-F513)/30.417)</f>
        <v>74</v>
      </c>
      <c r="K513" s="13">
        <f t="shared" ca="1" si="7"/>
        <v>0</v>
      </c>
      <c r="L513" s="8">
        <f>G513*3.7%</f>
        <v>268250.00000000006</v>
      </c>
      <c r="M513" s="8">
        <f>G513*2%</f>
        <v>145000</v>
      </c>
      <c r="N513" s="8">
        <f>G513*4%</f>
        <v>290000</v>
      </c>
      <c r="O513" s="8">
        <f>G513*1%</f>
        <v>72500</v>
      </c>
      <c r="P513">
        <v>2</v>
      </c>
      <c r="Q513" s="13">
        <f>P513*200000</f>
        <v>400000</v>
      </c>
      <c r="R513" s="8">
        <v>500000</v>
      </c>
      <c r="S513" s="9">
        <f>8%*G513</f>
        <v>580000</v>
      </c>
    </row>
    <row r="514" spans="1:19" x14ac:dyDescent="0.3">
      <c r="A514">
        <v>512</v>
      </c>
      <c r="B514" s="10" t="s">
        <v>1049</v>
      </c>
      <c r="C514" s="10" t="s">
        <v>1050</v>
      </c>
      <c r="D514" s="11" t="str">
        <f>VLOOKUP(MID(B514,6,1),'Tabel Acuan'!$A$10:$B$17,2,0)</f>
        <v>Marketing</v>
      </c>
      <c r="E514" t="str">
        <f>VLOOKUP(MID(B514,8,2),'Tabel Acuan'!$A$1:$B$6,2,0)</f>
        <v>Senior Staff</v>
      </c>
      <c r="F514" s="12">
        <v>44310</v>
      </c>
      <c r="G514" s="8" cm="1">
        <f t="array" ref="G514">INDEX('Tabel Acuan'!$F$4:$F$39,
MATCH(1,('Tabel Acuan'!$D$4:$D$39='Data Gaji Pegawai'!D514)*('Tabel Acuan'!$E$4:$E$39='Data Gaji Pegawai'!E514),0))</f>
        <v>6400000</v>
      </c>
      <c r="H514">
        <f>I514/100000</f>
        <v>56</v>
      </c>
      <c r="I514" s="14">
        <v>5600000</v>
      </c>
      <c r="J514">
        <f ca="1">INT((TODAY()-F514)/30.417)</f>
        <v>62</v>
      </c>
      <c r="K514" s="13">
        <f t="shared" ca="1" si="7"/>
        <v>0</v>
      </c>
      <c r="L514" s="8">
        <f>G514*3.7%</f>
        <v>236800.00000000003</v>
      </c>
      <c r="M514" s="8">
        <f>G514*2%</f>
        <v>128000</v>
      </c>
      <c r="N514" s="8">
        <f>G514*4%</f>
        <v>256000</v>
      </c>
      <c r="O514" s="8">
        <f>G514*1%</f>
        <v>64000</v>
      </c>
      <c r="P514">
        <v>6</v>
      </c>
      <c r="Q514" s="13">
        <f>P514*200000</f>
        <v>1200000</v>
      </c>
      <c r="R514" s="8">
        <v>1250000</v>
      </c>
      <c r="S514" s="9">
        <f>8%*G514</f>
        <v>512000</v>
      </c>
    </row>
    <row r="515" spans="1:19" x14ac:dyDescent="0.3">
      <c r="A515">
        <v>513</v>
      </c>
      <c r="B515" s="10" t="s">
        <v>1051</v>
      </c>
      <c r="C515" s="10" t="s">
        <v>1052</v>
      </c>
      <c r="D515" s="11" t="str">
        <f>VLOOKUP(MID(B515,6,1),'Tabel Acuan'!$A$10:$B$17,2,0)</f>
        <v>Logistics</v>
      </c>
      <c r="E515" t="str">
        <f>VLOOKUP(MID(B515,8,2),'Tabel Acuan'!$A$1:$B$6,2,0)</f>
        <v>Staff</v>
      </c>
      <c r="F515" s="12">
        <v>44102</v>
      </c>
      <c r="G515" s="8" cm="1">
        <f t="array" ref="G515">INDEX('Tabel Acuan'!$F$4:$F$39,
MATCH(1,('Tabel Acuan'!$D$4:$D$39='Data Gaji Pegawai'!D515)*('Tabel Acuan'!$E$4:$E$39='Data Gaji Pegawai'!E515),0))</f>
        <v>5200000</v>
      </c>
      <c r="H515">
        <f>I515/100000</f>
        <v>30</v>
      </c>
      <c r="I515" s="14">
        <v>3000000</v>
      </c>
      <c r="J515">
        <f ca="1">INT((TODAY()-F515)/30.417)</f>
        <v>69</v>
      </c>
      <c r="K515" s="13">
        <f t="shared" ca="1" si="7"/>
        <v>0</v>
      </c>
      <c r="L515" s="8">
        <f>G515*3.7%</f>
        <v>192400.00000000003</v>
      </c>
      <c r="M515" s="8">
        <f>G515*2%</f>
        <v>104000</v>
      </c>
      <c r="N515" s="8">
        <f>G515*4%</f>
        <v>208000</v>
      </c>
      <c r="O515" s="8">
        <f>G515*1%</f>
        <v>52000</v>
      </c>
      <c r="P515">
        <v>0</v>
      </c>
      <c r="Q515" s="13">
        <f>P515*200000</f>
        <v>0</v>
      </c>
      <c r="R515" s="8">
        <v>0</v>
      </c>
      <c r="S515" s="9">
        <f>8%*G515</f>
        <v>416000</v>
      </c>
    </row>
    <row r="516" spans="1:19" x14ac:dyDescent="0.3">
      <c r="A516">
        <v>514</v>
      </c>
      <c r="B516" s="10" t="s">
        <v>1053</v>
      </c>
      <c r="C516" s="10" t="s">
        <v>1054</v>
      </c>
      <c r="D516" s="11" t="str">
        <f>VLOOKUP(MID(B516,6,1),'Tabel Acuan'!$A$10:$B$17,2,0)</f>
        <v>Information Technology (IT)</v>
      </c>
      <c r="E516" t="str">
        <f>VLOOKUP(MID(B516,8,2),'Tabel Acuan'!$A$1:$B$6,2,0)</f>
        <v>Staff</v>
      </c>
      <c r="F516" s="12">
        <v>44149</v>
      </c>
      <c r="G516" s="8" cm="1">
        <f t="array" ref="G516">INDEX('Tabel Acuan'!$F$4:$F$39,
MATCH(1,('Tabel Acuan'!$D$4:$D$39='Data Gaji Pegawai'!D516)*('Tabel Acuan'!$E$4:$E$39='Data Gaji Pegawai'!E516),0))</f>
        <v>6000000</v>
      </c>
      <c r="H516">
        <f>I516/100000</f>
        <v>15</v>
      </c>
      <c r="I516" s="14">
        <v>1500000</v>
      </c>
      <c r="J516">
        <f ca="1">INT((TODAY()-F516)/30.417)</f>
        <v>67</v>
      </c>
      <c r="K516" s="13">
        <f t="shared" ref="K516:K579" ca="1" si="8">IF(MONTH(TODAY())=12, IF(J516&gt;=12,G516,G516*(J516/12)), 0)</f>
        <v>0</v>
      </c>
      <c r="L516" s="8">
        <f>G516*3.7%</f>
        <v>222000.00000000003</v>
      </c>
      <c r="M516" s="8">
        <f>G516*2%</f>
        <v>120000</v>
      </c>
      <c r="N516" s="8">
        <f>G516*4%</f>
        <v>240000</v>
      </c>
      <c r="O516" s="8">
        <f>G516*1%</f>
        <v>60000</v>
      </c>
      <c r="P516">
        <v>1</v>
      </c>
      <c r="Q516" s="13">
        <f>P516*200000</f>
        <v>200000</v>
      </c>
      <c r="R516" s="8">
        <v>1250000</v>
      </c>
      <c r="S516" s="9">
        <f>8%*G516</f>
        <v>480000</v>
      </c>
    </row>
    <row r="517" spans="1:19" x14ac:dyDescent="0.3">
      <c r="A517">
        <v>515</v>
      </c>
      <c r="B517" s="10" t="s">
        <v>1055</v>
      </c>
      <c r="C517" s="10" t="s">
        <v>1056</v>
      </c>
      <c r="D517" s="11" t="str">
        <f>VLOOKUP(MID(B517,6,1),'Tabel Acuan'!$A$10:$B$17,2,0)</f>
        <v>Operations</v>
      </c>
      <c r="E517" t="str">
        <f>VLOOKUP(MID(B517,8,2),'Tabel Acuan'!$A$1:$B$6,2,0)</f>
        <v>Manager</v>
      </c>
      <c r="F517" s="12">
        <v>44473</v>
      </c>
      <c r="G517" s="8" cm="1">
        <f t="array" ref="G517">INDEX('Tabel Acuan'!$F$4:$F$39,
MATCH(1,('Tabel Acuan'!$D$4:$D$39='Data Gaji Pegawai'!D517)*('Tabel Acuan'!$E$4:$E$39='Data Gaji Pegawai'!E517),0))</f>
        <v>13000000</v>
      </c>
      <c r="H517">
        <f>I517/100000</f>
        <v>46</v>
      </c>
      <c r="I517" s="14">
        <v>4600000</v>
      </c>
      <c r="J517">
        <f ca="1">INT((TODAY()-F517)/30.417)</f>
        <v>56</v>
      </c>
      <c r="K517" s="13">
        <f t="shared" ca="1" si="8"/>
        <v>0</v>
      </c>
      <c r="L517" s="8">
        <f>G517*3.7%</f>
        <v>481000.00000000006</v>
      </c>
      <c r="M517" s="8">
        <f>G517*2%</f>
        <v>260000</v>
      </c>
      <c r="N517" s="8">
        <f>G517*4%</f>
        <v>520000</v>
      </c>
      <c r="O517" s="8">
        <f>G517*1%</f>
        <v>130000</v>
      </c>
      <c r="P517">
        <v>9</v>
      </c>
      <c r="Q517" s="13">
        <f>P517*200000</f>
        <v>1800000</v>
      </c>
      <c r="R517" s="8">
        <v>0</v>
      </c>
      <c r="S517" s="9">
        <f>8%*G517</f>
        <v>1040000</v>
      </c>
    </row>
    <row r="518" spans="1:19" x14ac:dyDescent="0.3">
      <c r="A518">
        <v>516</v>
      </c>
      <c r="B518" s="10" t="s">
        <v>1057</v>
      </c>
      <c r="C518" s="10" t="s">
        <v>1058</v>
      </c>
      <c r="D518" s="11" t="str">
        <f>VLOOKUP(MID(B518,6,1),'Tabel Acuan'!$A$10:$B$17,2,0)</f>
        <v>Operations</v>
      </c>
      <c r="E518" t="str">
        <f>VLOOKUP(MID(B518,8,2),'Tabel Acuan'!$A$1:$B$6,2,0)</f>
        <v>Supervisor</v>
      </c>
      <c r="F518" s="12">
        <v>45155</v>
      </c>
      <c r="G518" s="8" cm="1">
        <f t="array" ref="G518">INDEX('Tabel Acuan'!$F$4:$F$39,
MATCH(1,('Tabel Acuan'!$D$4:$D$39='Data Gaji Pegawai'!D518)*('Tabel Acuan'!$E$4:$E$39='Data Gaji Pegawai'!E518),0))</f>
        <v>7700000</v>
      </c>
      <c r="H518">
        <f>I518/100000</f>
        <v>31</v>
      </c>
      <c r="I518" s="14">
        <v>3100000</v>
      </c>
      <c r="J518">
        <f ca="1">INT((TODAY()-F518)/30.417)</f>
        <v>34</v>
      </c>
      <c r="K518" s="13">
        <f t="shared" ca="1" si="8"/>
        <v>0</v>
      </c>
      <c r="L518" s="8">
        <f>G518*3.7%</f>
        <v>284900.00000000006</v>
      </c>
      <c r="M518" s="8">
        <f>G518*2%</f>
        <v>154000</v>
      </c>
      <c r="N518" s="8">
        <f>G518*4%</f>
        <v>308000</v>
      </c>
      <c r="O518" s="8">
        <f>G518*1%</f>
        <v>77000</v>
      </c>
      <c r="P518">
        <v>1</v>
      </c>
      <c r="Q518" s="13">
        <f>P518*200000</f>
        <v>200000</v>
      </c>
      <c r="R518" s="8">
        <v>0</v>
      </c>
      <c r="S518" s="9">
        <f>8%*G518</f>
        <v>616000</v>
      </c>
    </row>
    <row r="519" spans="1:19" x14ac:dyDescent="0.3">
      <c r="A519">
        <v>517</v>
      </c>
      <c r="B519" s="10" t="s">
        <v>1059</v>
      </c>
      <c r="C519" s="10" t="s">
        <v>681</v>
      </c>
      <c r="D519" s="11" t="str">
        <f>VLOOKUP(MID(B519,6,1),'Tabel Acuan'!$A$10:$B$17,2,0)</f>
        <v>Finance</v>
      </c>
      <c r="E519" t="str">
        <f>VLOOKUP(MID(B519,8,2),'Tabel Acuan'!$A$1:$B$6,2,0)</f>
        <v>Staff</v>
      </c>
      <c r="F519" s="12">
        <v>45743</v>
      </c>
      <c r="G519" s="8" cm="1">
        <f t="array" ref="G519">INDEX('Tabel Acuan'!$F$4:$F$39,
MATCH(1,('Tabel Acuan'!$D$4:$D$39='Data Gaji Pegawai'!D519)*('Tabel Acuan'!$E$4:$E$39='Data Gaji Pegawai'!E519),0))</f>
        <v>5500000</v>
      </c>
      <c r="H519">
        <f>I519/100000</f>
        <v>49</v>
      </c>
      <c r="I519" s="14">
        <v>4900000</v>
      </c>
      <c r="J519">
        <f ca="1">INT((TODAY()-F519)/30.417)</f>
        <v>15</v>
      </c>
      <c r="K519" s="13">
        <f t="shared" ca="1" si="8"/>
        <v>0</v>
      </c>
      <c r="L519" s="8">
        <f>G519*3.7%</f>
        <v>203500.00000000003</v>
      </c>
      <c r="M519" s="8">
        <f>G519*2%</f>
        <v>110000</v>
      </c>
      <c r="N519" s="8">
        <f>G519*4%</f>
        <v>220000</v>
      </c>
      <c r="O519" s="8">
        <f>G519*1%</f>
        <v>55000</v>
      </c>
      <c r="P519">
        <v>0</v>
      </c>
      <c r="Q519" s="13">
        <f>P519*200000</f>
        <v>0</v>
      </c>
      <c r="R519" s="8">
        <v>750000</v>
      </c>
      <c r="S519" s="9">
        <f>8%*G519</f>
        <v>440000</v>
      </c>
    </row>
    <row r="520" spans="1:19" x14ac:dyDescent="0.3">
      <c r="A520">
        <v>518</v>
      </c>
      <c r="B520" s="10" t="s">
        <v>1060</v>
      </c>
      <c r="C520" s="10" t="s">
        <v>1061</v>
      </c>
      <c r="D520" s="11" t="str">
        <f>VLOOKUP(MID(B520,6,1),'Tabel Acuan'!$A$10:$B$17,2,0)</f>
        <v>Sales</v>
      </c>
      <c r="E520" t="str">
        <f>VLOOKUP(MID(B520,8,2),'Tabel Acuan'!$A$1:$B$6,2,0)</f>
        <v>Supervisor</v>
      </c>
      <c r="F520" s="12">
        <v>45711</v>
      </c>
      <c r="G520" s="8" cm="1">
        <f t="array" ref="G520">INDEX('Tabel Acuan'!$F$4:$F$39,
MATCH(1,('Tabel Acuan'!$D$4:$D$39='Data Gaji Pegawai'!D520)*('Tabel Acuan'!$E$4:$E$39='Data Gaji Pegawai'!E520),0))</f>
        <v>7500000</v>
      </c>
      <c r="H520">
        <f>I520/100000</f>
        <v>13</v>
      </c>
      <c r="I520" s="14">
        <v>1300000</v>
      </c>
      <c r="J520">
        <f ca="1">INT((TODAY()-F520)/30.417)</f>
        <v>16</v>
      </c>
      <c r="K520" s="13">
        <f t="shared" ca="1" si="8"/>
        <v>0</v>
      </c>
      <c r="L520" s="8">
        <f>G520*3.7%</f>
        <v>277500.00000000006</v>
      </c>
      <c r="M520" s="8">
        <f>G520*2%</f>
        <v>150000</v>
      </c>
      <c r="N520" s="8">
        <f>G520*4%</f>
        <v>300000</v>
      </c>
      <c r="O520" s="8">
        <f>G520*1%</f>
        <v>75000</v>
      </c>
      <c r="P520">
        <v>13</v>
      </c>
      <c r="Q520" s="13">
        <f>P520*200000</f>
        <v>2600000</v>
      </c>
      <c r="R520" s="8">
        <v>300000</v>
      </c>
      <c r="S520" s="9">
        <f>8%*G520</f>
        <v>600000</v>
      </c>
    </row>
    <row r="521" spans="1:19" x14ac:dyDescent="0.3">
      <c r="A521">
        <v>519</v>
      </c>
      <c r="B521" s="10" t="s">
        <v>1062</v>
      </c>
      <c r="C521" s="10" t="s">
        <v>1063</v>
      </c>
      <c r="D521" s="11" t="str">
        <f>VLOOKUP(MID(B521,6,1),'Tabel Acuan'!$A$10:$B$17,2,0)</f>
        <v>Finance</v>
      </c>
      <c r="E521" t="str">
        <f>VLOOKUP(MID(B521,8,2),'Tabel Acuan'!$A$1:$B$6,2,0)</f>
        <v>Staff</v>
      </c>
      <c r="F521" s="12">
        <v>45677</v>
      </c>
      <c r="G521" s="8" cm="1">
        <f t="array" ref="G521">INDEX('Tabel Acuan'!$F$4:$F$39,
MATCH(1,('Tabel Acuan'!$D$4:$D$39='Data Gaji Pegawai'!D521)*('Tabel Acuan'!$E$4:$E$39='Data Gaji Pegawai'!E521),0))</f>
        <v>5500000</v>
      </c>
      <c r="H521">
        <f>I521/100000</f>
        <v>5</v>
      </c>
      <c r="I521" s="14">
        <v>500000</v>
      </c>
      <c r="J521">
        <f ca="1">INT((TODAY()-F521)/30.417)</f>
        <v>17</v>
      </c>
      <c r="K521" s="13">
        <f t="shared" ca="1" si="8"/>
        <v>0</v>
      </c>
      <c r="L521" s="8">
        <f>G521*3.7%</f>
        <v>203500.00000000003</v>
      </c>
      <c r="M521" s="8">
        <f>G521*2%</f>
        <v>110000</v>
      </c>
      <c r="N521" s="8">
        <f>G521*4%</f>
        <v>220000</v>
      </c>
      <c r="O521" s="8">
        <f>G521*1%</f>
        <v>55000</v>
      </c>
      <c r="P521">
        <v>2</v>
      </c>
      <c r="Q521" s="13">
        <f>P521*200000</f>
        <v>400000</v>
      </c>
      <c r="R521" s="8">
        <v>0</v>
      </c>
      <c r="S521" s="9">
        <f>8%*G521</f>
        <v>440000</v>
      </c>
    </row>
    <row r="522" spans="1:19" x14ac:dyDescent="0.3">
      <c r="A522">
        <v>520</v>
      </c>
      <c r="B522" s="10" t="s">
        <v>1064</v>
      </c>
      <c r="C522" s="10" t="s">
        <v>1065</v>
      </c>
      <c r="D522" s="11" t="str">
        <f>VLOOKUP(MID(B522,6,1),'Tabel Acuan'!$A$10:$B$17,2,0)</f>
        <v>Marketing</v>
      </c>
      <c r="E522" t="str">
        <f>VLOOKUP(MID(B522,8,2),'Tabel Acuan'!$A$1:$B$6,2,0)</f>
        <v>Staff</v>
      </c>
      <c r="F522" s="12">
        <v>43674</v>
      </c>
      <c r="G522" s="8" cm="1">
        <f t="array" ref="G522">INDEX('Tabel Acuan'!$F$4:$F$39,
MATCH(1,('Tabel Acuan'!$D$4:$D$39='Data Gaji Pegawai'!D522)*('Tabel Acuan'!$E$4:$E$39='Data Gaji Pegawai'!E522),0))</f>
        <v>5300000</v>
      </c>
      <c r="H522">
        <f>I522/100000</f>
        <v>24</v>
      </c>
      <c r="I522" s="14">
        <v>2400000</v>
      </c>
      <c r="J522">
        <f ca="1">INT((TODAY()-F522)/30.417)</f>
        <v>83</v>
      </c>
      <c r="K522" s="13">
        <f t="shared" ca="1" si="8"/>
        <v>0</v>
      </c>
      <c r="L522" s="8">
        <f>G522*3.7%</f>
        <v>196100.00000000003</v>
      </c>
      <c r="M522" s="8">
        <f>G522*2%</f>
        <v>106000</v>
      </c>
      <c r="N522" s="8">
        <f>G522*4%</f>
        <v>212000</v>
      </c>
      <c r="O522" s="8">
        <f>G522*1%</f>
        <v>53000</v>
      </c>
      <c r="P522">
        <v>14</v>
      </c>
      <c r="Q522" s="13">
        <f>P522*200000</f>
        <v>2800000</v>
      </c>
      <c r="R522" s="8">
        <v>1500000</v>
      </c>
      <c r="S522" s="9">
        <f>8%*G522</f>
        <v>424000</v>
      </c>
    </row>
    <row r="523" spans="1:19" x14ac:dyDescent="0.3">
      <c r="A523">
        <v>521</v>
      </c>
      <c r="B523" s="10" t="s">
        <v>1066</v>
      </c>
      <c r="C523" s="10" t="s">
        <v>810</v>
      </c>
      <c r="D523" s="11" t="str">
        <f>VLOOKUP(MID(B523,6,1),'Tabel Acuan'!$A$10:$B$17,2,0)</f>
        <v>Human Resources (HR)</v>
      </c>
      <c r="E523" t="str">
        <f>VLOOKUP(MID(B523,8,2),'Tabel Acuan'!$A$1:$B$6,2,0)</f>
        <v>Staff</v>
      </c>
      <c r="F523" s="12">
        <v>43834</v>
      </c>
      <c r="G523" s="8" cm="1">
        <f t="array" ref="G523">INDEX('Tabel Acuan'!$F$4:$F$39,
MATCH(1,('Tabel Acuan'!$D$4:$D$39='Data Gaji Pegawai'!D523)*('Tabel Acuan'!$E$4:$E$39='Data Gaji Pegawai'!E523),0))</f>
        <v>5000000</v>
      </c>
      <c r="H523">
        <f>I523/100000</f>
        <v>41</v>
      </c>
      <c r="I523" s="14">
        <v>4100000</v>
      </c>
      <c r="J523">
        <f ca="1">INT((TODAY()-F523)/30.417)</f>
        <v>77</v>
      </c>
      <c r="K523" s="13">
        <f t="shared" ca="1" si="8"/>
        <v>0</v>
      </c>
      <c r="L523" s="8">
        <f>G523*3.7%</f>
        <v>185000.00000000003</v>
      </c>
      <c r="M523" s="8">
        <f>G523*2%</f>
        <v>100000</v>
      </c>
      <c r="N523" s="8">
        <f>G523*4%</f>
        <v>200000</v>
      </c>
      <c r="O523" s="8">
        <f>G523*1%</f>
        <v>50000</v>
      </c>
      <c r="P523">
        <v>2</v>
      </c>
      <c r="Q523" s="13">
        <f>P523*200000</f>
        <v>400000</v>
      </c>
      <c r="R523" s="8">
        <v>3000000</v>
      </c>
      <c r="S523" s="9">
        <f>8%*G523</f>
        <v>400000</v>
      </c>
    </row>
    <row r="524" spans="1:19" x14ac:dyDescent="0.3">
      <c r="A524">
        <v>522</v>
      </c>
      <c r="B524" s="10" t="s">
        <v>1067</v>
      </c>
      <c r="C524" s="10" t="s">
        <v>1068</v>
      </c>
      <c r="D524" s="11" t="str">
        <f>VLOOKUP(MID(B524,6,1),'Tabel Acuan'!$A$10:$B$17,2,0)</f>
        <v>Sales</v>
      </c>
      <c r="E524" t="str">
        <f>VLOOKUP(MID(B524,8,2),'Tabel Acuan'!$A$1:$B$6,2,0)</f>
        <v>Assistant Manager</v>
      </c>
      <c r="F524" s="12">
        <v>42059</v>
      </c>
      <c r="G524" s="8" cm="1">
        <f t="array" ref="G524">INDEX('Tabel Acuan'!$F$4:$F$39,
MATCH(1,('Tabel Acuan'!$D$4:$D$39='Data Gaji Pegawai'!D524)*('Tabel Acuan'!$E$4:$E$39='Data Gaji Pegawai'!E524),0))</f>
        <v>9500000</v>
      </c>
      <c r="H524">
        <f>I524/100000</f>
        <v>18</v>
      </c>
      <c r="I524" s="14">
        <v>1800000</v>
      </c>
      <c r="J524">
        <f ca="1">INT((TODAY()-F524)/30.417)</f>
        <v>136</v>
      </c>
      <c r="K524" s="13">
        <f t="shared" ca="1" si="8"/>
        <v>0</v>
      </c>
      <c r="L524" s="8">
        <f>G524*3.7%</f>
        <v>351500.00000000006</v>
      </c>
      <c r="M524" s="8">
        <f>G524*2%</f>
        <v>190000</v>
      </c>
      <c r="N524" s="8">
        <f>G524*4%</f>
        <v>380000</v>
      </c>
      <c r="O524" s="8">
        <f>G524*1%</f>
        <v>95000</v>
      </c>
      <c r="P524">
        <v>9</v>
      </c>
      <c r="Q524" s="13">
        <f>P524*200000</f>
        <v>1800000</v>
      </c>
      <c r="R524" s="8">
        <v>1000000</v>
      </c>
      <c r="S524" s="9">
        <f>8%*G524</f>
        <v>760000</v>
      </c>
    </row>
    <row r="525" spans="1:19" x14ac:dyDescent="0.3">
      <c r="A525">
        <v>523</v>
      </c>
      <c r="B525" s="10" t="s">
        <v>1069</v>
      </c>
      <c r="C525" s="10" t="s">
        <v>329</v>
      </c>
      <c r="D525" s="11" t="str">
        <f>VLOOKUP(MID(B525,6,1),'Tabel Acuan'!$A$10:$B$17,2,0)</f>
        <v>Information Technology (IT)</v>
      </c>
      <c r="E525" t="str">
        <f>VLOOKUP(MID(B525,8,2),'Tabel Acuan'!$A$1:$B$6,2,0)</f>
        <v>Staff</v>
      </c>
      <c r="F525" s="12">
        <v>44804</v>
      </c>
      <c r="G525" s="8" cm="1">
        <f t="array" ref="G525">INDEX('Tabel Acuan'!$F$4:$F$39,
MATCH(1,('Tabel Acuan'!$D$4:$D$39='Data Gaji Pegawai'!D525)*('Tabel Acuan'!$E$4:$E$39='Data Gaji Pegawai'!E525),0))</f>
        <v>6000000</v>
      </c>
      <c r="H525">
        <f>I525/100000</f>
        <v>10</v>
      </c>
      <c r="I525" s="14">
        <v>1000000</v>
      </c>
      <c r="J525">
        <f ca="1">INT((TODAY()-F525)/30.417)</f>
        <v>46</v>
      </c>
      <c r="K525" s="13">
        <f t="shared" ca="1" si="8"/>
        <v>0</v>
      </c>
      <c r="L525" s="8">
        <f>G525*3.7%</f>
        <v>222000.00000000003</v>
      </c>
      <c r="M525" s="8">
        <f>G525*2%</f>
        <v>120000</v>
      </c>
      <c r="N525" s="8">
        <f>G525*4%</f>
        <v>240000</v>
      </c>
      <c r="O525" s="8">
        <f>G525*1%</f>
        <v>60000</v>
      </c>
      <c r="P525">
        <v>7</v>
      </c>
      <c r="Q525" s="13">
        <f>P525*200000</f>
        <v>1400000</v>
      </c>
      <c r="R525" s="8">
        <v>0</v>
      </c>
      <c r="S525" s="9">
        <f>8%*G525</f>
        <v>480000</v>
      </c>
    </row>
    <row r="526" spans="1:19" x14ac:dyDescent="0.3">
      <c r="A526">
        <v>524</v>
      </c>
      <c r="B526" s="10" t="s">
        <v>1070</v>
      </c>
      <c r="C526" s="10" t="s">
        <v>1071</v>
      </c>
      <c r="D526" s="11" t="str">
        <f>VLOOKUP(MID(B526,6,1),'Tabel Acuan'!$A$10:$B$17,2,0)</f>
        <v>Operations</v>
      </c>
      <c r="E526" t="str">
        <f>VLOOKUP(MID(B526,8,2),'Tabel Acuan'!$A$1:$B$6,2,0)</f>
        <v>Supervisor</v>
      </c>
      <c r="F526" s="12">
        <v>44521</v>
      </c>
      <c r="G526" s="8" cm="1">
        <f t="array" ref="G526">INDEX('Tabel Acuan'!$F$4:$F$39,
MATCH(1,('Tabel Acuan'!$D$4:$D$39='Data Gaji Pegawai'!D526)*('Tabel Acuan'!$E$4:$E$39='Data Gaji Pegawai'!E526),0))</f>
        <v>7700000</v>
      </c>
      <c r="H526">
        <f>I526/100000</f>
        <v>9</v>
      </c>
      <c r="I526" s="14">
        <v>900000</v>
      </c>
      <c r="J526">
        <f ca="1">INT((TODAY()-F526)/30.417)</f>
        <v>55</v>
      </c>
      <c r="K526" s="13">
        <f t="shared" ca="1" si="8"/>
        <v>0</v>
      </c>
      <c r="L526" s="8">
        <f>G526*3.7%</f>
        <v>284900.00000000006</v>
      </c>
      <c r="M526" s="8">
        <f>G526*2%</f>
        <v>154000</v>
      </c>
      <c r="N526" s="8">
        <f>G526*4%</f>
        <v>308000</v>
      </c>
      <c r="O526" s="8">
        <f>G526*1%</f>
        <v>77000</v>
      </c>
      <c r="P526">
        <v>9</v>
      </c>
      <c r="Q526" s="13">
        <f>P526*200000</f>
        <v>1800000</v>
      </c>
      <c r="R526" s="8">
        <v>5000000</v>
      </c>
      <c r="S526" s="9">
        <f>8%*G526</f>
        <v>616000</v>
      </c>
    </row>
    <row r="527" spans="1:19" x14ac:dyDescent="0.3">
      <c r="A527">
        <v>525</v>
      </c>
      <c r="B527" s="10" t="s">
        <v>1072</v>
      </c>
      <c r="C527" s="10" t="s">
        <v>1073</v>
      </c>
      <c r="D527" s="11" t="str">
        <f>VLOOKUP(MID(B527,6,1),'Tabel Acuan'!$A$10:$B$17,2,0)</f>
        <v>Logistics</v>
      </c>
      <c r="E527" t="str">
        <f>VLOOKUP(MID(B527,8,2),'Tabel Acuan'!$A$1:$B$6,2,0)</f>
        <v>Manager</v>
      </c>
      <c r="F527" s="12">
        <v>45942</v>
      </c>
      <c r="G527" s="8" cm="1">
        <f t="array" ref="G527">INDEX('Tabel Acuan'!$F$4:$F$39,
MATCH(1,('Tabel Acuan'!$D$4:$D$39='Data Gaji Pegawai'!D527)*('Tabel Acuan'!$E$4:$E$39='Data Gaji Pegawai'!E527),0))</f>
        <v>12500000</v>
      </c>
      <c r="H527">
        <f>I527/100000</f>
        <v>9</v>
      </c>
      <c r="I527" s="14">
        <v>900000</v>
      </c>
      <c r="J527">
        <f ca="1">INT((TODAY()-F527)/30.417)</f>
        <v>8</v>
      </c>
      <c r="K527" s="13">
        <f t="shared" ca="1" si="8"/>
        <v>0</v>
      </c>
      <c r="L527" s="8">
        <f>G527*3.7%</f>
        <v>462500.00000000006</v>
      </c>
      <c r="M527" s="8">
        <f>G527*2%</f>
        <v>250000</v>
      </c>
      <c r="N527" s="8">
        <f>G527*4%</f>
        <v>500000</v>
      </c>
      <c r="O527" s="8">
        <f>G527*1%</f>
        <v>125000</v>
      </c>
      <c r="P527">
        <v>3</v>
      </c>
      <c r="Q527" s="13">
        <f>P527*200000</f>
        <v>600000</v>
      </c>
      <c r="R527" s="8">
        <v>0</v>
      </c>
      <c r="S527" s="9">
        <f>8%*G527</f>
        <v>1000000</v>
      </c>
    </row>
    <row r="528" spans="1:19" x14ac:dyDescent="0.3">
      <c r="A528">
        <v>526</v>
      </c>
      <c r="B528" s="10" t="s">
        <v>1074</v>
      </c>
      <c r="C528" s="10" t="s">
        <v>1075</v>
      </c>
      <c r="D528" s="11" t="str">
        <f>VLOOKUP(MID(B528,6,1),'Tabel Acuan'!$A$10:$B$17,2,0)</f>
        <v>Marketing</v>
      </c>
      <c r="E528" t="str">
        <f>VLOOKUP(MID(B528,8,2),'Tabel Acuan'!$A$1:$B$6,2,0)</f>
        <v>Staff</v>
      </c>
      <c r="F528" s="12">
        <v>45448</v>
      </c>
      <c r="G528" s="8" cm="1">
        <f t="array" ref="G528">INDEX('Tabel Acuan'!$F$4:$F$39,
MATCH(1,('Tabel Acuan'!$D$4:$D$39='Data Gaji Pegawai'!D528)*('Tabel Acuan'!$E$4:$E$39='Data Gaji Pegawai'!E528),0))</f>
        <v>5300000</v>
      </c>
      <c r="H528">
        <f>I528/100000</f>
        <v>13</v>
      </c>
      <c r="I528" s="14">
        <v>1300000</v>
      </c>
      <c r="J528">
        <f ca="1">INT((TODAY()-F528)/30.417)</f>
        <v>24</v>
      </c>
      <c r="K528" s="13">
        <f t="shared" ca="1" si="8"/>
        <v>0</v>
      </c>
      <c r="L528" s="8">
        <f>G528*3.7%</f>
        <v>196100.00000000003</v>
      </c>
      <c r="M528" s="8">
        <f>G528*2%</f>
        <v>106000</v>
      </c>
      <c r="N528" s="8">
        <f>G528*4%</f>
        <v>212000</v>
      </c>
      <c r="O528" s="8">
        <f>G528*1%</f>
        <v>53000</v>
      </c>
      <c r="P528">
        <v>11</v>
      </c>
      <c r="Q528" s="13">
        <f>P528*200000</f>
        <v>2200000</v>
      </c>
      <c r="R528" s="8">
        <v>0</v>
      </c>
      <c r="S528" s="9">
        <f>8%*G528</f>
        <v>424000</v>
      </c>
    </row>
    <row r="529" spans="1:19" x14ac:dyDescent="0.3">
      <c r="A529">
        <v>527</v>
      </c>
      <c r="B529" s="10" t="s">
        <v>1076</v>
      </c>
      <c r="C529" s="10" t="s">
        <v>1077</v>
      </c>
      <c r="D529" s="11" t="str">
        <f>VLOOKUP(MID(B529,6,1),'Tabel Acuan'!$A$10:$B$17,2,0)</f>
        <v>Operations</v>
      </c>
      <c r="E529" t="str">
        <f>VLOOKUP(MID(B529,8,2),'Tabel Acuan'!$A$1:$B$6,2,0)</f>
        <v>Senior Staff</v>
      </c>
      <c r="F529" s="12">
        <v>45771</v>
      </c>
      <c r="G529" s="8" cm="1">
        <f t="array" ref="G529">INDEX('Tabel Acuan'!$F$4:$F$39,
MATCH(1,('Tabel Acuan'!$D$4:$D$39='Data Gaji Pegawai'!D529)*('Tabel Acuan'!$E$4:$E$39='Data Gaji Pegawai'!E529),0))</f>
        <v>6300000</v>
      </c>
      <c r="H529">
        <f>I529/100000</f>
        <v>39</v>
      </c>
      <c r="I529" s="14">
        <v>3900000</v>
      </c>
      <c r="J529">
        <f ca="1">INT((TODAY()-F529)/30.417)</f>
        <v>14</v>
      </c>
      <c r="K529" s="13">
        <f t="shared" ca="1" si="8"/>
        <v>0</v>
      </c>
      <c r="L529" s="8">
        <f>G529*3.7%</f>
        <v>233100.00000000003</v>
      </c>
      <c r="M529" s="8">
        <f>G529*2%</f>
        <v>126000</v>
      </c>
      <c r="N529" s="8">
        <f>G529*4%</f>
        <v>252000</v>
      </c>
      <c r="O529" s="8">
        <f>G529*1%</f>
        <v>63000</v>
      </c>
      <c r="P529">
        <v>8</v>
      </c>
      <c r="Q529" s="13">
        <f>P529*200000</f>
        <v>1600000</v>
      </c>
      <c r="R529" s="8">
        <v>0</v>
      </c>
      <c r="S529" s="9">
        <f>8%*G529</f>
        <v>504000</v>
      </c>
    </row>
    <row r="530" spans="1:19" x14ac:dyDescent="0.3">
      <c r="A530">
        <v>528</v>
      </c>
      <c r="B530" s="10" t="s">
        <v>1078</v>
      </c>
      <c r="C530" s="10" t="s">
        <v>1079</v>
      </c>
      <c r="D530" s="11" t="str">
        <f>VLOOKUP(MID(B530,6,1),'Tabel Acuan'!$A$10:$B$17,2,0)</f>
        <v>Sales</v>
      </c>
      <c r="E530" t="str">
        <f>VLOOKUP(MID(B530,8,2),'Tabel Acuan'!$A$1:$B$6,2,0)</f>
        <v>Supervisor</v>
      </c>
      <c r="F530" s="12">
        <v>43017</v>
      </c>
      <c r="G530" s="8" cm="1">
        <f t="array" ref="G530">INDEX('Tabel Acuan'!$F$4:$F$39,
MATCH(1,('Tabel Acuan'!$D$4:$D$39='Data Gaji Pegawai'!D530)*('Tabel Acuan'!$E$4:$E$39='Data Gaji Pegawai'!E530),0))</f>
        <v>7500000</v>
      </c>
      <c r="H530">
        <f>I530/100000</f>
        <v>29</v>
      </c>
      <c r="I530" s="14">
        <v>2900000</v>
      </c>
      <c r="J530">
        <f ca="1">INT((TODAY()-F530)/30.417)</f>
        <v>104</v>
      </c>
      <c r="K530" s="13">
        <f t="shared" ca="1" si="8"/>
        <v>0</v>
      </c>
      <c r="L530" s="8">
        <f>G530*3.7%</f>
        <v>277500.00000000006</v>
      </c>
      <c r="M530" s="8">
        <f>G530*2%</f>
        <v>150000</v>
      </c>
      <c r="N530" s="8">
        <f>G530*4%</f>
        <v>300000</v>
      </c>
      <c r="O530" s="8">
        <f>G530*1%</f>
        <v>75000</v>
      </c>
      <c r="P530">
        <v>2</v>
      </c>
      <c r="Q530" s="13">
        <f>P530*200000</f>
        <v>400000</v>
      </c>
      <c r="R530" s="8">
        <v>0</v>
      </c>
      <c r="S530" s="9">
        <f>8%*G530</f>
        <v>600000</v>
      </c>
    </row>
    <row r="531" spans="1:19" x14ac:dyDescent="0.3">
      <c r="A531">
        <v>529</v>
      </c>
      <c r="B531" s="10" t="s">
        <v>1080</v>
      </c>
      <c r="C531" s="10" t="s">
        <v>1081</v>
      </c>
      <c r="D531" s="11" t="str">
        <f>VLOOKUP(MID(B531,6,1),'Tabel Acuan'!$A$10:$B$17,2,0)</f>
        <v>Logistics</v>
      </c>
      <c r="E531" t="str">
        <f>VLOOKUP(MID(B531,8,2),'Tabel Acuan'!$A$1:$B$6,2,0)</f>
        <v>Staff</v>
      </c>
      <c r="F531" s="12">
        <v>42619</v>
      </c>
      <c r="G531" s="8" cm="1">
        <f t="array" ref="G531">INDEX('Tabel Acuan'!$F$4:$F$39,
MATCH(1,('Tabel Acuan'!$D$4:$D$39='Data Gaji Pegawai'!D531)*('Tabel Acuan'!$E$4:$E$39='Data Gaji Pegawai'!E531),0))</f>
        <v>5200000</v>
      </c>
      <c r="H531">
        <f>I531/100000</f>
        <v>60</v>
      </c>
      <c r="I531" s="14">
        <v>6000000</v>
      </c>
      <c r="J531">
        <f ca="1">INT((TODAY()-F531)/30.417)</f>
        <v>117</v>
      </c>
      <c r="K531" s="13">
        <f t="shared" ca="1" si="8"/>
        <v>0</v>
      </c>
      <c r="L531" s="8">
        <f>G531*3.7%</f>
        <v>192400.00000000003</v>
      </c>
      <c r="M531" s="8">
        <f>G531*2%</f>
        <v>104000</v>
      </c>
      <c r="N531" s="8">
        <f>G531*4%</f>
        <v>208000</v>
      </c>
      <c r="O531" s="8">
        <f>G531*1%</f>
        <v>52000</v>
      </c>
      <c r="P531">
        <v>10</v>
      </c>
      <c r="Q531" s="13">
        <f>P531*200000</f>
        <v>2000000</v>
      </c>
      <c r="R531" s="8">
        <v>3500000</v>
      </c>
      <c r="S531" s="9">
        <f>8%*G531</f>
        <v>416000</v>
      </c>
    </row>
    <row r="532" spans="1:19" x14ac:dyDescent="0.3">
      <c r="A532">
        <v>530</v>
      </c>
      <c r="B532" s="10" t="s">
        <v>1082</v>
      </c>
      <c r="C532" s="10" t="s">
        <v>279</v>
      </c>
      <c r="D532" s="11" t="str">
        <f>VLOOKUP(MID(B532,6,1),'Tabel Acuan'!$A$10:$B$17,2,0)</f>
        <v>Finance</v>
      </c>
      <c r="E532" t="str">
        <f>VLOOKUP(MID(B532,8,2),'Tabel Acuan'!$A$1:$B$6,2,0)</f>
        <v>Staff</v>
      </c>
      <c r="F532" s="12">
        <v>45757</v>
      </c>
      <c r="G532" s="8" cm="1">
        <f t="array" ref="G532">INDEX('Tabel Acuan'!$F$4:$F$39,
MATCH(1,('Tabel Acuan'!$D$4:$D$39='Data Gaji Pegawai'!D532)*('Tabel Acuan'!$E$4:$E$39='Data Gaji Pegawai'!E532),0))</f>
        <v>5500000</v>
      </c>
      <c r="H532">
        <f>I532/100000</f>
        <v>20</v>
      </c>
      <c r="I532" s="14">
        <v>2000000</v>
      </c>
      <c r="J532">
        <f ca="1">INT((TODAY()-F532)/30.417)</f>
        <v>14</v>
      </c>
      <c r="K532" s="13">
        <f t="shared" ca="1" si="8"/>
        <v>0</v>
      </c>
      <c r="L532" s="8">
        <f>G532*3.7%</f>
        <v>203500.00000000003</v>
      </c>
      <c r="M532" s="8">
        <f>G532*2%</f>
        <v>110000</v>
      </c>
      <c r="N532" s="8">
        <f>G532*4%</f>
        <v>220000</v>
      </c>
      <c r="O532" s="8">
        <f>G532*1%</f>
        <v>55000</v>
      </c>
      <c r="P532">
        <v>15</v>
      </c>
      <c r="Q532" s="13">
        <f>P532*200000</f>
        <v>3000000</v>
      </c>
      <c r="R532" s="8">
        <v>3000000</v>
      </c>
      <c r="S532" s="9">
        <f>8%*G532</f>
        <v>440000</v>
      </c>
    </row>
    <row r="533" spans="1:19" x14ac:dyDescent="0.3">
      <c r="A533">
        <v>531</v>
      </c>
      <c r="B533" s="10" t="s">
        <v>1083</v>
      </c>
      <c r="C533" s="10" t="s">
        <v>1084</v>
      </c>
      <c r="D533" s="11" t="str">
        <f>VLOOKUP(MID(B533,6,1),'Tabel Acuan'!$A$10:$B$17,2,0)</f>
        <v>Logistics</v>
      </c>
      <c r="E533" t="str">
        <f>VLOOKUP(MID(B533,8,2),'Tabel Acuan'!$A$1:$B$6,2,0)</f>
        <v>Supervisor</v>
      </c>
      <c r="F533" s="12">
        <v>45948</v>
      </c>
      <c r="G533" s="8" cm="1">
        <f t="array" ref="G533">INDEX('Tabel Acuan'!$F$4:$F$39,
MATCH(1,('Tabel Acuan'!$D$4:$D$39='Data Gaji Pegawai'!D533)*('Tabel Acuan'!$E$4:$E$39='Data Gaji Pegawai'!E533),0))</f>
        <v>7500000</v>
      </c>
      <c r="H533">
        <f>I533/100000</f>
        <v>23</v>
      </c>
      <c r="I533" s="14">
        <v>2300000</v>
      </c>
      <c r="J533">
        <f ca="1">INT((TODAY()-F533)/30.417)</f>
        <v>8</v>
      </c>
      <c r="K533" s="13">
        <f t="shared" ca="1" si="8"/>
        <v>0</v>
      </c>
      <c r="L533" s="8">
        <f>G533*3.7%</f>
        <v>277500.00000000006</v>
      </c>
      <c r="M533" s="8">
        <f>G533*2%</f>
        <v>150000</v>
      </c>
      <c r="N533" s="8">
        <f>G533*4%</f>
        <v>300000</v>
      </c>
      <c r="O533" s="8">
        <f>G533*1%</f>
        <v>75000</v>
      </c>
      <c r="P533">
        <v>10</v>
      </c>
      <c r="Q533" s="13">
        <f>P533*200000</f>
        <v>2000000</v>
      </c>
      <c r="R533" s="8">
        <v>500000</v>
      </c>
      <c r="S533" s="9">
        <f>8%*G533</f>
        <v>600000</v>
      </c>
    </row>
    <row r="534" spans="1:19" x14ac:dyDescent="0.3">
      <c r="A534">
        <v>532</v>
      </c>
      <c r="B534" s="10" t="s">
        <v>1085</v>
      </c>
      <c r="C534" s="10" t="s">
        <v>1086</v>
      </c>
      <c r="D534" s="11" t="str">
        <f>VLOOKUP(MID(B534,6,1),'Tabel Acuan'!$A$10:$B$17,2,0)</f>
        <v>Logistics</v>
      </c>
      <c r="E534" t="str">
        <f>VLOOKUP(MID(B534,8,2),'Tabel Acuan'!$A$1:$B$6,2,0)</f>
        <v>Staff</v>
      </c>
      <c r="F534" s="12">
        <v>42333</v>
      </c>
      <c r="G534" s="8" cm="1">
        <f t="array" ref="G534">INDEX('Tabel Acuan'!$F$4:$F$39,
MATCH(1,('Tabel Acuan'!$D$4:$D$39='Data Gaji Pegawai'!D534)*('Tabel Acuan'!$E$4:$E$39='Data Gaji Pegawai'!E534),0))</f>
        <v>5200000</v>
      </c>
      <c r="H534">
        <f>I534/100000</f>
        <v>27</v>
      </c>
      <c r="I534" s="14">
        <v>2700000</v>
      </c>
      <c r="J534">
        <f ca="1">INT((TODAY()-F534)/30.417)</f>
        <v>127</v>
      </c>
      <c r="K534" s="13">
        <f t="shared" ca="1" si="8"/>
        <v>0</v>
      </c>
      <c r="L534" s="8">
        <f>G534*3.7%</f>
        <v>192400.00000000003</v>
      </c>
      <c r="M534" s="8">
        <f>G534*2%</f>
        <v>104000</v>
      </c>
      <c r="N534" s="8">
        <f>G534*4%</f>
        <v>208000</v>
      </c>
      <c r="O534" s="8">
        <f>G534*1%</f>
        <v>52000</v>
      </c>
      <c r="P534">
        <v>8</v>
      </c>
      <c r="Q534" s="13">
        <f>P534*200000</f>
        <v>1600000</v>
      </c>
      <c r="R534" s="8">
        <v>500000</v>
      </c>
      <c r="S534" s="9">
        <f>8%*G534</f>
        <v>416000</v>
      </c>
    </row>
    <row r="535" spans="1:19" x14ac:dyDescent="0.3">
      <c r="A535">
        <v>533</v>
      </c>
      <c r="B535" s="10" t="s">
        <v>1087</v>
      </c>
      <c r="C535" s="10" t="s">
        <v>1088</v>
      </c>
      <c r="D535" s="11" t="str">
        <f>VLOOKUP(MID(B535,6,1),'Tabel Acuan'!$A$10:$B$17,2,0)</f>
        <v>Sales</v>
      </c>
      <c r="E535" t="str">
        <f>VLOOKUP(MID(B535,8,2),'Tabel Acuan'!$A$1:$B$6,2,0)</f>
        <v>Staff</v>
      </c>
      <c r="F535" s="12">
        <v>45886</v>
      </c>
      <c r="G535" s="8" cm="1">
        <f t="array" ref="G535">INDEX('Tabel Acuan'!$F$4:$F$39,
MATCH(1,('Tabel Acuan'!$D$4:$D$39='Data Gaji Pegawai'!D535)*('Tabel Acuan'!$E$4:$E$39='Data Gaji Pegawai'!E535),0))</f>
        <v>5000000</v>
      </c>
      <c r="H535">
        <f>I535/100000</f>
        <v>22</v>
      </c>
      <c r="I535" s="14">
        <v>2200000</v>
      </c>
      <c r="J535">
        <f ca="1">INT((TODAY()-F535)/30.417)</f>
        <v>10</v>
      </c>
      <c r="K535" s="13">
        <f t="shared" ca="1" si="8"/>
        <v>0</v>
      </c>
      <c r="L535" s="8">
        <f>G535*3.7%</f>
        <v>185000.00000000003</v>
      </c>
      <c r="M535" s="8">
        <f>G535*2%</f>
        <v>100000</v>
      </c>
      <c r="N535" s="8">
        <f>G535*4%</f>
        <v>200000</v>
      </c>
      <c r="O535" s="8">
        <f>G535*1%</f>
        <v>50000</v>
      </c>
      <c r="P535">
        <v>9</v>
      </c>
      <c r="Q535" s="13">
        <f>P535*200000</f>
        <v>1800000</v>
      </c>
      <c r="R535" s="8">
        <v>300000</v>
      </c>
      <c r="S535" s="9">
        <f>8%*G535</f>
        <v>400000</v>
      </c>
    </row>
    <row r="536" spans="1:19" x14ac:dyDescent="0.3">
      <c r="A536">
        <v>534</v>
      </c>
      <c r="B536" s="10" t="s">
        <v>1089</v>
      </c>
      <c r="C536" s="10" t="s">
        <v>1090</v>
      </c>
      <c r="D536" s="11" t="str">
        <f>VLOOKUP(MID(B536,6,1),'Tabel Acuan'!$A$10:$B$17,2,0)</f>
        <v>Sales</v>
      </c>
      <c r="E536" t="str">
        <f>VLOOKUP(MID(B536,8,2),'Tabel Acuan'!$A$1:$B$6,2,0)</f>
        <v>Senior Staff</v>
      </c>
      <c r="F536" s="12">
        <v>43011</v>
      </c>
      <c r="G536" s="8" cm="1">
        <f t="array" ref="G536">INDEX('Tabel Acuan'!$F$4:$F$39,
MATCH(1,('Tabel Acuan'!$D$4:$D$39='Data Gaji Pegawai'!D536)*('Tabel Acuan'!$E$4:$E$39='Data Gaji Pegawai'!E536),0))</f>
        <v>6000000</v>
      </c>
      <c r="H536">
        <f>I536/100000</f>
        <v>12</v>
      </c>
      <c r="I536" s="14">
        <v>1200000</v>
      </c>
      <c r="J536">
        <f ca="1">INT((TODAY()-F536)/30.417)</f>
        <v>105</v>
      </c>
      <c r="K536" s="13">
        <f t="shared" ca="1" si="8"/>
        <v>0</v>
      </c>
      <c r="L536" s="8">
        <f>G536*3.7%</f>
        <v>222000.00000000003</v>
      </c>
      <c r="M536" s="8">
        <f>G536*2%</f>
        <v>120000</v>
      </c>
      <c r="N536" s="8">
        <f>G536*4%</f>
        <v>240000</v>
      </c>
      <c r="O536" s="8">
        <f>G536*1%</f>
        <v>60000</v>
      </c>
      <c r="P536">
        <v>8</v>
      </c>
      <c r="Q536" s="13">
        <f>P536*200000</f>
        <v>1600000</v>
      </c>
      <c r="R536" s="8">
        <v>3500000</v>
      </c>
      <c r="S536" s="9">
        <f>8%*G536</f>
        <v>480000</v>
      </c>
    </row>
    <row r="537" spans="1:19" x14ac:dyDescent="0.3">
      <c r="A537">
        <v>535</v>
      </c>
      <c r="B537" s="10" t="s">
        <v>1091</v>
      </c>
      <c r="C537" s="10" t="s">
        <v>1092</v>
      </c>
      <c r="D537" s="11" t="str">
        <f>VLOOKUP(MID(B537,6,1),'Tabel Acuan'!$A$10:$B$17,2,0)</f>
        <v>Sales</v>
      </c>
      <c r="E537" t="str">
        <f>VLOOKUP(MID(B537,8,2),'Tabel Acuan'!$A$1:$B$6,2,0)</f>
        <v>Staff</v>
      </c>
      <c r="F537" s="12">
        <v>42693</v>
      </c>
      <c r="G537" s="8" cm="1">
        <f t="array" ref="G537">INDEX('Tabel Acuan'!$F$4:$F$39,
MATCH(1,('Tabel Acuan'!$D$4:$D$39='Data Gaji Pegawai'!D537)*('Tabel Acuan'!$E$4:$E$39='Data Gaji Pegawai'!E537),0))</f>
        <v>5000000</v>
      </c>
      <c r="H537">
        <f>I537/100000</f>
        <v>1</v>
      </c>
      <c r="I537" s="14">
        <v>100000</v>
      </c>
      <c r="J537">
        <f ca="1">INT((TODAY()-F537)/30.417)</f>
        <v>115</v>
      </c>
      <c r="K537" s="13">
        <f t="shared" ca="1" si="8"/>
        <v>0</v>
      </c>
      <c r="L537" s="8">
        <f>G537*3.7%</f>
        <v>185000.00000000003</v>
      </c>
      <c r="M537" s="8">
        <f>G537*2%</f>
        <v>100000</v>
      </c>
      <c r="N537" s="8">
        <f>G537*4%</f>
        <v>200000</v>
      </c>
      <c r="O537" s="8">
        <f>G537*1%</f>
        <v>50000</v>
      </c>
      <c r="P537">
        <v>12</v>
      </c>
      <c r="Q537" s="13">
        <f>P537*200000</f>
        <v>2400000</v>
      </c>
      <c r="R537" s="8">
        <v>750000</v>
      </c>
      <c r="S537" s="9">
        <f>8%*G537</f>
        <v>400000</v>
      </c>
    </row>
    <row r="538" spans="1:19" x14ac:dyDescent="0.3">
      <c r="A538">
        <v>536</v>
      </c>
      <c r="B538" s="10" t="s">
        <v>1093</v>
      </c>
      <c r="C538" s="10" t="s">
        <v>1094</v>
      </c>
      <c r="D538" s="11" t="str">
        <f>VLOOKUP(MID(B538,6,1),'Tabel Acuan'!$A$10:$B$17,2,0)</f>
        <v>Marketing</v>
      </c>
      <c r="E538" t="str">
        <f>VLOOKUP(MID(B538,8,2),'Tabel Acuan'!$A$1:$B$6,2,0)</f>
        <v>Staff</v>
      </c>
      <c r="F538" s="12">
        <v>42339</v>
      </c>
      <c r="G538" s="8" cm="1">
        <f t="array" ref="G538">INDEX('Tabel Acuan'!$F$4:$F$39,
MATCH(1,('Tabel Acuan'!$D$4:$D$39='Data Gaji Pegawai'!D538)*('Tabel Acuan'!$E$4:$E$39='Data Gaji Pegawai'!E538),0))</f>
        <v>5300000</v>
      </c>
      <c r="H538">
        <f>I538/100000</f>
        <v>49</v>
      </c>
      <c r="I538" s="14">
        <v>4900000</v>
      </c>
      <c r="J538">
        <f ca="1">INT((TODAY()-F538)/30.417)</f>
        <v>127</v>
      </c>
      <c r="K538" s="13">
        <f t="shared" ca="1" si="8"/>
        <v>0</v>
      </c>
      <c r="L538" s="8">
        <f>G538*3.7%</f>
        <v>196100.00000000003</v>
      </c>
      <c r="M538" s="8">
        <f>G538*2%</f>
        <v>106000</v>
      </c>
      <c r="N538" s="8">
        <f>G538*4%</f>
        <v>212000</v>
      </c>
      <c r="O538" s="8">
        <f>G538*1%</f>
        <v>53000</v>
      </c>
      <c r="P538">
        <v>4</v>
      </c>
      <c r="Q538" s="13">
        <f>P538*200000</f>
        <v>800000</v>
      </c>
      <c r="R538" s="8">
        <v>750000</v>
      </c>
      <c r="S538" s="9">
        <f>8%*G538</f>
        <v>424000</v>
      </c>
    </row>
    <row r="539" spans="1:19" x14ac:dyDescent="0.3">
      <c r="A539">
        <v>537</v>
      </c>
      <c r="B539" s="10" t="s">
        <v>1095</v>
      </c>
      <c r="C539" s="10" t="s">
        <v>1096</v>
      </c>
      <c r="D539" s="11" t="str">
        <f>VLOOKUP(MID(B539,6,1),'Tabel Acuan'!$A$10:$B$17,2,0)</f>
        <v>Sales</v>
      </c>
      <c r="E539" t="str">
        <f>VLOOKUP(MID(B539,8,2),'Tabel Acuan'!$A$1:$B$6,2,0)</f>
        <v>Assistant Manager</v>
      </c>
      <c r="F539" s="12">
        <v>45548</v>
      </c>
      <c r="G539" s="8" cm="1">
        <f t="array" ref="G539">INDEX('Tabel Acuan'!$F$4:$F$39,
MATCH(1,('Tabel Acuan'!$D$4:$D$39='Data Gaji Pegawai'!D539)*('Tabel Acuan'!$E$4:$E$39='Data Gaji Pegawai'!E539),0))</f>
        <v>9500000</v>
      </c>
      <c r="H539">
        <f>I539/100000</f>
        <v>32</v>
      </c>
      <c r="I539" s="14">
        <v>3200000</v>
      </c>
      <c r="J539">
        <f ca="1">INT((TODAY()-F539)/30.417)</f>
        <v>21</v>
      </c>
      <c r="K539" s="13">
        <f t="shared" ca="1" si="8"/>
        <v>0</v>
      </c>
      <c r="L539" s="8">
        <f>G539*3.7%</f>
        <v>351500.00000000006</v>
      </c>
      <c r="M539" s="8">
        <f>G539*2%</f>
        <v>190000</v>
      </c>
      <c r="N539" s="8">
        <f>G539*4%</f>
        <v>380000</v>
      </c>
      <c r="O539" s="8">
        <f>G539*1%</f>
        <v>95000</v>
      </c>
      <c r="P539">
        <v>2</v>
      </c>
      <c r="Q539" s="13">
        <f>P539*200000</f>
        <v>400000</v>
      </c>
      <c r="R539" s="8">
        <v>2500000</v>
      </c>
      <c r="S539" s="9">
        <f>8%*G539</f>
        <v>760000</v>
      </c>
    </row>
    <row r="540" spans="1:19" x14ac:dyDescent="0.3">
      <c r="A540">
        <v>538</v>
      </c>
      <c r="B540" s="10" t="s">
        <v>1097</v>
      </c>
      <c r="C540" s="10" t="s">
        <v>1098</v>
      </c>
      <c r="D540" s="11" t="str">
        <f>VLOOKUP(MID(B540,6,1),'Tabel Acuan'!$A$10:$B$17,2,0)</f>
        <v>Sales</v>
      </c>
      <c r="E540" t="str">
        <f>VLOOKUP(MID(B540,8,2),'Tabel Acuan'!$A$1:$B$6,2,0)</f>
        <v>Staff</v>
      </c>
      <c r="F540" s="12">
        <v>42089</v>
      </c>
      <c r="G540" s="8" cm="1">
        <f t="array" ref="G540">INDEX('Tabel Acuan'!$F$4:$F$39,
MATCH(1,('Tabel Acuan'!$D$4:$D$39='Data Gaji Pegawai'!D540)*('Tabel Acuan'!$E$4:$E$39='Data Gaji Pegawai'!E540),0))</f>
        <v>5000000</v>
      </c>
      <c r="H540">
        <f>I540/100000</f>
        <v>48</v>
      </c>
      <c r="I540" s="14">
        <v>4800000</v>
      </c>
      <c r="J540">
        <f ca="1">INT((TODAY()-F540)/30.417)</f>
        <v>135</v>
      </c>
      <c r="K540" s="13">
        <f t="shared" ca="1" si="8"/>
        <v>0</v>
      </c>
      <c r="L540" s="8">
        <f>G540*3.7%</f>
        <v>185000.00000000003</v>
      </c>
      <c r="M540" s="8">
        <f>G540*2%</f>
        <v>100000</v>
      </c>
      <c r="N540" s="8">
        <f>G540*4%</f>
        <v>200000</v>
      </c>
      <c r="O540" s="8">
        <f>G540*1%</f>
        <v>50000</v>
      </c>
      <c r="P540">
        <v>4</v>
      </c>
      <c r="Q540" s="13">
        <f>P540*200000</f>
        <v>800000</v>
      </c>
      <c r="R540" s="8">
        <v>500000</v>
      </c>
      <c r="S540" s="9">
        <f>8%*G540</f>
        <v>400000</v>
      </c>
    </row>
    <row r="541" spans="1:19" x14ac:dyDescent="0.3">
      <c r="A541">
        <v>539</v>
      </c>
      <c r="B541" s="10" t="s">
        <v>1099</v>
      </c>
      <c r="C541" s="10" t="s">
        <v>1100</v>
      </c>
      <c r="D541" s="11" t="str">
        <f>VLOOKUP(MID(B541,6,1),'Tabel Acuan'!$A$10:$B$17,2,0)</f>
        <v>Marketing</v>
      </c>
      <c r="E541" t="str">
        <f>VLOOKUP(MID(B541,8,2),'Tabel Acuan'!$A$1:$B$6,2,0)</f>
        <v>Senior Staff</v>
      </c>
      <c r="F541" s="12">
        <v>45539</v>
      </c>
      <c r="G541" s="8" cm="1">
        <f t="array" ref="G541">INDEX('Tabel Acuan'!$F$4:$F$39,
MATCH(1,('Tabel Acuan'!$D$4:$D$39='Data Gaji Pegawai'!D541)*('Tabel Acuan'!$E$4:$E$39='Data Gaji Pegawai'!E541),0))</f>
        <v>6400000</v>
      </c>
      <c r="H541">
        <f>I541/100000</f>
        <v>60</v>
      </c>
      <c r="I541" s="14">
        <v>6000000</v>
      </c>
      <c r="J541">
        <f ca="1">INT((TODAY()-F541)/30.417)</f>
        <v>21</v>
      </c>
      <c r="K541" s="13">
        <f t="shared" ca="1" si="8"/>
        <v>0</v>
      </c>
      <c r="L541" s="8">
        <f>G541*3.7%</f>
        <v>236800.00000000003</v>
      </c>
      <c r="M541" s="8">
        <f>G541*2%</f>
        <v>128000</v>
      </c>
      <c r="N541" s="8">
        <f>G541*4%</f>
        <v>256000</v>
      </c>
      <c r="O541" s="8">
        <f>G541*1%</f>
        <v>64000</v>
      </c>
      <c r="P541">
        <v>11</v>
      </c>
      <c r="Q541" s="13">
        <f>P541*200000</f>
        <v>2200000</v>
      </c>
      <c r="R541" s="8">
        <v>0</v>
      </c>
      <c r="S541" s="9">
        <f>8%*G541</f>
        <v>512000</v>
      </c>
    </row>
    <row r="542" spans="1:19" x14ac:dyDescent="0.3">
      <c r="A542">
        <v>540</v>
      </c>
      <c r="B542" s="10" t="s">
        <v>1101</v>
      </c>
      <c r="C542" s="10" t="s">
        <v>1102</v>
      </c>
      <c r="D542" s="11" t="str">
        <f>VLOOKUP(MID(B542,6,1),'Tabel Acuan'!$A$10:$B$17,2,0)</f>
        <v>Finance</v>
      </c>
      <c r="E542" t="str">
        <f>VLOOKUP(MID(B542,8,2),'Tabel Acuan'!$A$1:$B$6,2,0)</f>
        <v>Staff</v>
      </c>
      <c r="F542" s="12">
        <v>44583</v>
      </c>
      <c r="G542" s="8" cm="1">
        <f t="array" ref="G542">INDEX('Tabel Acuan'!$F$4:$F$39,
MATCH(1,('Tabel Acuan'!$D$4:$D$39='Data Gaji Pegawai'!D542)*('Tabel Acuan'!$E$4:$E$39='Data Gaji Pegawai'!E542),0))</f>
        <v>5500000</v>
      </c>
      <c r="H542">
        <f>I542/100000</f>
        <v>42</v>
      </c>
      <c r="I542" s="14">
        <v>4200000</v>
      </c>
      <c r="J542">
        <f ca="1">INT((TODAY()-F542)/30.417)</f>
        <v>53</v>
      </c>
      <c r="K542" s="13">
        <f t="shared" ca="1" si="8"/>
        <v>0</v>
      </c>
      <c r="L542" s="8">
        <f>G542*3.7%</f>
        <v>203500.00000000003</v>
      </c>
      <c r="M542" s="8">
        <f>G542*2%</f>
        <v>110000</v>
      </c>
      <c r="N542" s="8">
        <f>G542*4%</f>
        <v>220000</v>
      </c>
      <c r="O542" s="8">
        <f>G542*1%</f>
        <v>55000</v>
      </c>
      <c r="P542">
        <v>6</v>
      </c>
      <c r="Q542" s="13">
        <f>P542*200000</f>
        <v>1200000</v>
      </c>
      <c r="R542" s="8">
        <v>5000000</v>
      </c>
      <c r="S542" s="9">
        <f>8%*G542</f>
        <v>440000</v>
      </c>
    </row>
    <row r="543" spans="1:19" x14ac:dyDescent="0.3">
      <c r="A543">
        <v>541</v>
      </c>
      <c r="B543" s="10" t="s">
        <v>1103</v>
      </c>
      <c r="C543" s="10" t="s">
        <v>1104</v>
      </c>
      <c r="D543" s="11" t="str">
        <f>VLOOKUP(MID(B543,6,1),'Tabel Acuan'!$A$10:$B$17,2,0)</f>
        <v>Information Technology (IT)</v>
      </c>
      <c r="E543" t="str">
        <f>VLOOKUP(MID(B543,8,2),'Tabel Acuan'!$A$1:$B$6,2,0)</f>
        <v>Senior Staff</v>
      </c>
      <c r="F543" s="12">
        <v>43851</v>
      </c>
      <c r="G543" s="8" cm="1">
        <f t="array" ref="G543">INDEX('Tabel Acuan'!$F$4:$F$39,
MATCH(1,('Tabel Acuan'!$D$4:$D$39='Data Gaji Pegawai'!D543)*('Tabel Acuan'!$E$4:$E$39='Data Gaji Pegawai'!E543),0))</f>
        <v>7500000</v>
      </c>
      <c r="H543">
        <f>I543/100000</f>
        <v>41</v>
      </c>
      <c r="I543" s="14">
        <v>4100000</v>
      </c>
      <c r="J543">
        <f ca="1">INT((TODAY()-F543)/30.417)</f>
        <v>77</v>
      </c>
      <c r="K543" s="13">
        <f t="shared" ca="1" si="8"/>
        <v>0</v>
      </c>
      <c r="L543" s="8">
        <f>G543*3.7%</f>
        <v>277500.00000000006</v>
      </c>
      <c r="M543" s="8">
        <f>G543*2%</f>
        <v>150000</v>
      </c>
      <c r="N543" s="8">
        <f>G543*4%</f>
        <v>300000</v>
      </c>
      <c r="O543" s="8">
        <f>G543*1%</f>
        <v>75000</v>
      </c>
      <c r="P543">
        <v>10</v>
      </c>
      <c r="Q543" s="13">
        <f>P543*200000</f>
        <v>2000000</v>
      </c>
      <c r="R543" s="8">
        <v>0</v>
      </c>
      <c r="S543" s="9">
        <f>8%*G543</f>
        <v>600000</v>
      </c>
    </row>
    <row r="544" spans="1:19" x14ac:dyDescent="0.3">
      <c r="A544">
        <v>542</v>
      </c>
      <c r="B544" s="10" t="s">
        <v>1105</v>
      </c>
      <c r="C544" s="10" t="s">
        <v>1106</v>
      </c>
      <c r="D544" s="11" t="str">
        <f>VLOOKUP(MID(B544,6,1),'Tabel Acuan'!$A$10:$B$17,2,0)</f>
        <v>Sales</v>
      </c>
      <c r="E544" t="str">
        <f>VLOOKUP(MID(B544,8,2),'Tabel Acuan'!$A$1:$B$6,2,0)</f>
        <v>Supervisor</v>
      </c>
      <c r="F544" s="12">
        <v>45223</v>
      </c>
      <c r="G544" s="8" cm="1">
        <f t="array" ref="G544">INDEX('Tabel Acuan'!$F$4:$F$39,
MATCH(1,('Tabel Acuan'!$D$4:$D$39='Data Gaji Pegawai'!D544)*('Tabel Acuan'!$E$4:$E$39='Data Gaji Pegawai'!E544),0))</f>
        <v>7500000</v>
      </c>
      <c r="H544">
        <f>I544/100000</f>
        <v>34</v>
      </c>
      <c r="I544" s="14">
        <v>3400000</v>
      </c>
      <c r="J544">
        <f ca="1">INT((TODAY()-F544)/30.417)</f>
        <v>32</v>
      </c>
      <c r="K544" s="13">
        <f t="shared" ca="1" si="8"/>
        <v>0</v>
      </c>
      <c r="L544" s="8">
        <f>G544*3.7%</f>
        <v>277500.00000000006</v>
      </c>
      <c r="M544" s="8">
        <f>G544*2%</f>
        <v>150000</v>
      </c>
      <c r="N544" s="8">
        <f>G544*4%</f>
        <v>300000</v>
      </c>
      <c r="O544" s="8">
        <f>G544*1%</f>
        <v>75000</v>
      </c>
      <c r="P544">
        <v>5</v>
      </c>
      <c r="Q544" s="13">
        <f>P544*200000</f>
        <v>1000000</v>
      </c>
      <c r="R544" s="8">
        <v>1500000</v>
      </c>
      <c r="S544" s="9">
        <f>8%*G544</f>
        <v>600000</v>
      </c>
    </row>
    <row r="545" spans="1:19" x14ac:dyDescent="0.3">
      <c r="A545">
        <v>543</v>
      </c>
      <c r="B545" s="10" t="s">
        <v>1107</v>
      </c>
      <c r="C545" s="10" t="s">
        <v>766</v>
      </c>
      <c r="D545" s="11" t="str">
        <f>VLOOKUP(MID(B545,6,1),'Tabel Acuan'!$A$10:$B$17,2,0)</f>
        <v>Marketing</v>
      </c>
      <c r="E545" t="str">
        <f>VLOOKUP(MID(B545,8,2),'Tabel Acuan'!$A$1:$B$6,2,0)</f>
        <v>Senior Staff</v>
      </c>
      <c r="F545" s="12">
        <v>43959</v>
      </c>
      <c r="G545" s="8" cm="1">
        <f t="array" ref="G545">INDEX('Tabel Acuan'!$F$4:$F$39,
MATCH(1,('Tabel Acuan'!$D$4:$D$39='Data Gaji Pegawai'!D545)*('Tabel Acuan'!$E$4:$E$39='Data Gaji Pegawai'!E545),0))</f>
        <v>6400000</v>
      </c>
      <c r="H545">
        <f>I545/100000</f>
        <v>24</v>
      </c>
      <c r="I545" s="14">
        <v>2400000</v>
      </c>
      <c r="J545">
        <f ca="1">INT((TODAY()-F545)/30.417)</f>
        <v>73</v>
      </c>
      <c r="K545" s="13">
        <f t="shared" ca="1" si="8"/>
        <v>0</v>
      </c>
      <c r="L545" s="8">
        <f>G545*3.7%</f>
        <v>236800.00000000003</v>
      </c>
      <c r="M545" s="8">
        <f>G545*2%</f>
        <v>128000</v>
      </c>
      <c r="N545" s="8">
        <f>G545*4%</f>
        <v>256000</v>
      </c>
      <c r="O545" s="8">
        <f>G545*1%</f>
        <v>64000</v>
      </c>
      <c r="P545">
        <v>7</v>
      </c>
      <c r="Q545" s="13">
        <f>P545*200000</f>
        <v>1400000</v>
      </c>
      <c r="R545" s="8">
        <v>1250000</v>
      </c>
      <c r="S545" s="9">
        <f>8%*G545</f>
        <v>512000</v>
      </c>
    </row>
    <row r="546" spans="1:19" x14ac:dyDescent="0.3">
      <c r="A546">
        <v>544</v>
      </c>
      <c r="B546" s="10" t="s">
        <v>1108</v>
      </c>
      <c r="C546" s="10" t="s">
        <v>1109</v>
      </c>
      <c r="D546" s="11" t="str">
        <f>VLOOKUP(MID(B546,6,1),'Tabel Acuan'!$A$10:$B$17,2,0)</f>
        <v>Information Technology (IT)</v>
      </c>
      <c r="E546" t="str">
        <f>VLOOKUP(MID(B546,8,2),'Tabel Acuan'!$A$1:$B$6,2,0)</f>
        <v>Supervisor</v>
      </c>
      <c r="F546" s="12">
        <v>44087</v>
      </c>
      <c r="G546" s="8" cm="1">
        <f t="array" ref="G546">INDEX('Tabel Acuan'!$F$4:$F$39,
MATCH(1,('Tabel Acuan'!$D$4:$D$39='Data Gaji Pegawai'!D546)*('Tabel Acuan'!$E$4:$E$39='Data Gaji Pegawai'!E546),0))</f>
        <v>9000000</v>
      </c>
      <c r="H546">
        <f>I546/100000</f>
        <v>56</v>
      </c>
      <c r="I546" s="14">
        <v>5600000</v>
      </c>
      <c r="J546">
        <f ca="1">INT((TODAY()-F546)/30.417)</f>
        <v>69</v>
      </c>
      <c r="K546" s="13">
        <f t="shared" ca="1" si="8"/>
        <v>0</v>
      </c>
      <c r="L546" s="8">
        <f>G546*3.7%</f>
        <v>333000.00000000006</v>
      </c>
      <c r="M546" s="8">
        <f>G546*2%</f>
        <v>180000</v>
      </c>
      <c r="N546" s="8">
        <f>G546*4%</f>
        <v>360000</v>
      </c>
      <c r="O546" s="8">
        <f>G546*1%</f>
        <v>90000</v>
      </c>
      <c r="P546">
        <v>4</v>
      </c>
      <c r="Q546" s="13">
        <f>P546*200000</f>
        <v>800000</v>
      </c>
      <c r="R546" s="8">
        <v>750000</v>
      </c>
      <c r="S546" s="9">
        <f>8%*G546</f>
        <v>720000</v>
      </c>
    </row>
    <row r="547" spans="1:19" x14ac:dyDescent="0.3">
      <c r="A547">
        <v>545</v>
      </c>
      <c r="B547" s="10" t="s">
        <v>1110</v>
      </c>
      <c r="C547" s="10" t="s">
        <v>1111</v>
      </c>
      <c r="D547" s="11" t="str">
        <f>VLOOKUP(MID(B547,6,1),'Tabel Acuan'!$A$10:$B$17,2,0)</f>
        <v>Marketing</v>
      </c>
      <c r="E547" t="str">
        <f>VLOOKUP(MID(B547,8,2),'Tabel Acuan'!$A$1:$B$6,2,0)</f>
        <v>Senior Staff</v>
      </c>
      <c r="F547" s="12">
        <v>42465</v>
      </c>
      <c r="G547" s="8" cm="1">
        <f t="array" ref="G547">INDEX('Tabel Acuan'!$F$4:$F$39,
MATCH(1,('Tabel Acuan'!$D$4:$D$39='Data Gaji Pegawai'!D547)*('Tabel Acuan'!$E$4:$E$39='Data Gaji Pegawai'!E547),0))</f>
        <v>6400000</v>
      </c>
      <c r="H547">
        <f>I547/100000</f>
        <v>10</v>
      </c>
      <c r="I547" s="14">
        <v>1000000</v>
      </c>
      <c r="J547">
        <f ca="1">INT((TODAY()-F547)/30.417)</f>
        <v>122</v>
      </c>
      <c r="K547" s="13">
        <f t="shared" ca="1" si="8"/>
        <v>0</v>
      </c>
      <c r="L547" s="8">
        <f>G547*3.7%</f>
        <v>236800.00000000003</v>
      </c>
      <c r="M547" s="8">
        <f>G547*2%</f>
        <v>128000</v>
      </c>
      <c r="N547" s="8">
        <f>G547*4%</f>
        <v>256000</v>
      </c>
      <c r="O547" s="8">
        <f>G547*1%</f>
        <v>64000</v>
      </c>
      <c r="P547">
        <v>11</v>
      </c>
      <c r="Q547" s="13">
        <f>P547*200000</f>
        <v>2200000</v>
      </c>
      <c r="R547" s="8">
        <v>300000</v>
      </c>
      <c r="S547" s="9">
        <f>8%*G547</f>
        <v>512000</v>
      </c>
    </row>
    <row r="548" spans="1:19" x14ac:dyDescent="0.3">
      <c r="A548">
        <v>546</v>
      </c>
      <c r="B548" s="10" t="s">
        <v>1112</v>
      </c>
      <c r="C548" s="10" t="s">
        <v>1113</v>
      </c>
      <c r="D548" s="11" t="str">
        <f>VLOOKUP(MID(B548,6,1),'Tabel Acuan'!$A$10:$B$17,2,0)</f>
        <v>Finance</v>
      </c>
      <c r="E548" t="str">
        <f>VLOOKUP(MID(B548,8,2),'Tabel Acuan'!$A$1:$B$6,2,0)</f>
        <v>Senior Staff</v>
      </c>
      <c r="F548" s="12">
        <v>45716</v>
      </c>
      <c r="G548" s="8" cm="1">
        <f t="array" ref="G548">INDEX('Tabel Acuan'!$F$4:$F$39,
MATCH(1,('Tabel Acuan'!$D$4:$D$39='Data Gaji Pegawai'!D548)*('Tabel Acuan'!$E$4:$E$39='Data Gaji Pegawai'!E548),0))</f>
        <v>6600000</v>
      </c>
      <c r="H548">
        <f>I548/100000</f>
        <v>30</v>
      </c>
      <c r="I548" s="14">
        <v>3000000</v>
      </c>
      <c r="J548">
        <f ca="1">INT((TODAY()-F548)/30.417)</f>
        <v>16</v>
      </c>
      <c r="K548" s="13">
        <f t="shared" ca="1" si="8"/>
        <v>0</v>
      </c>
      <c r="L548" s="8">
        <f>G548*3.7%</f>
        <v>244200.00000000003</v>
      </c>
      <c r="M548" s="8">
        <f>G548*2%</f>
        <v>132000</v>
      </c>
      <c r="N548" s="8">
        <f>G548*4%</f>
        <v>264000</v>
      </c>
      <c r="O548" s="8">
        <f>G548*1%</f>
        <v>66000</v>
      </c>
      <c r="P548">
        <v>15</v>
      </c>
      <c r="Q548" s="13">
        <f>P548*200000</f>
        <v>3000000</v>
      </c>
      <c r="R548" s="8">
        <v>3000000</v>
      </c>
      <c r="S548" s="9">
        <f>8%*G548</f>
        <v>528000</v>
      </c>
    </row>
    <row r="549" spans="1:19" x14ac:dyDescent="0.3">
      <c r="A549">
        <v>547</v>
      </c>
      <c r="B549" s="10" t="s">
        <v>1114</v>
      </c>
      <c r="C549" s="10" t="s">
        <v>1115</v>
      </c>
      <c r="D549" s="11" t="str">
        <f>VLOOKUP(MID(B549,6,1),'Tabel Acuan'!$A$10:$B$17,2,0)</f>
        <v>Sales</v>
      </c>
      <c r="E549" t="str">
        <f>VLOOKUP(MID(B549,8,2),'Tabel Acuan'!$A$1:$B$6,2,0)</f>
        <v>Supervisor</v>
      </c>
      <c r="F549" s="12">
        <v>42758</v>
      </c>
      <c r="G549" s="8" cm="1">
        <f t="array" ref="G549">INDEX('Tabel Acuan'!$F$4:$F$39,
MATCH(1,('Tabel Acuan'!$D$4:$D$39='Data Gaji Pegawai'!D549)*('Tabel Acuan'!$E$4:$E$39='Data Gaji Pegawai'!E549),0))</f>
        <v>7500000</v>
      </c>
      <c r="H549">
        <f>I549/100000</f>
        <v>8</v>
      </c>
      <c r="I549" s="14">
        <v>800000</v>
      </c>
      <c r="J549">
        <f ca="1">INT((TODAY()-F549)/30.417)</f>
        <v>113</v>
      </c>
      <c r="K549" s="13">
        <f t="shared" ca="1" si="8"/>
        <v>0</v>
      </c>
      <c r="L549" s="8">
        <f>G549*3.7%</f>
        <v>277500.00000000006</v>
      </c>
      <c r="M549" s="8">
        <f>G549*2%</f>
        <v>150000</v>
      </c>
      <c r="N549" s="8">
        <f>G549*4%</f>
        <v>300000</v>
      </c>
      <c r="O549" s="8">
        <f>G549*1%</f>
        <v>75000</v>
      </c>
      <c r="P549">
        <v>5</v>
      </c>
      <c r="Q549" s="13">
        <f>P549*200000</f>
        <v>1000000</v>
      </c>
      <c r="R549" s="8">
        <v>0</v>
      </c>
      <c r="S549" s="9">
        <f>8%*G549</f>
        <v>600000</v>
      </c>
    </row>
    <row r="550" spans="1:19" x14ac:dyDescent="0.3">
      <c r="A550">
        <v>548</v>
      </c>
      <c r="B550" s="10" t="s">
        <v>1116</v>
      </c>
      <c r="C550" s="10" t="s">
        <v>1031</v>
      </c>
      <c r="D550" s="11" t="str">
        <f>VLOOKUP(MID(B550,6,1),'Tabel Acuan'!$A$10:$B$17,2,0)</f>
        <v>Human Resources (HR)</v>
      </c>
      <c r="E550" t="str">
        <f>VLOOKUP(MID(B550,8,2),'Tabel Acuan'!$A$1:$B$6,2,0)</f>
        <v>Assistant Manager</v>
      </c>
      <c r="F550" s="12">
        <v>45012</v>
      </c>
      <c r="G550" s="8" cm="1">
        <f t="array" ref="G550">INDEX('Tabel Acuan'!$F$4:$F$39,
MATCH(1,('Tabel Acuan'!$D$4:$D$39='Data Gaji Pegawai'!D550)*('Tabel Acuan'!$E$4:$E$39='Data Gaji Pegawai'!E550),0))</f>
        <v>9000000</v>
      </c>
      <c r="H550">
        <f>I550/100000</f>
        <v>16</v>
      </c>
      <c r="I550" s="14">
        <v>1600000</v>
      </c>
      <c r="J550">
        <f ca="1">INT((TODAY()-F550)/30.417)</f>
        <v>39</v>
      </c>
      <c r="K550" s="13">
        <f t="shared" ca="1" si="8"/>
        <v>0</v>
      </c>
      <c r="L550" s="8">
        <f>G550*3.7%</f>
        <v>333000.00000000006</v>
      </c>
      <c r="M550" s="8">
        <f>G550*2%</f>
        <v>180000</v>
      </c>
      <c r="N550" s="8">
        <f>G550*4%</f>
        <v>360000</v>
      </c>
      <c r="O550" s="8">
        <f>G550*1%</f>
        <v>90000</v>
      </c>
      <c r="P550">
        <v>5</v>
      </c>
      <c r="Q550" s="13">
        <f>P550*200000</f>
        <v>1000000</v>
      </c>
      <c r="R550" s="8">
        <v>1500000</v>
      </c>
      <c r="S550" s="9">
        <f>8%*G550</f>
        <v>720000</v>
      </c>
    </row>
    <row r="551" spans="1:19" x14ac:dyDescent="0.3">
      <c r="A551">
        <v>549</v>
      </c>
      <c r="B551" s="10" t="s">
        <v>1117</v>
      </c>
      <c r="C551" s="10" t="s">
        <v>871</v>
      </c>
      <c r="D551" s="11" t="str">
        <f>VLOOKUP(MID(B551,6,1),'Tabel Acuan'!$A$10:$B$17,2,0)</f>
        <v>Marketing</v>
      </c>
      <c r="E551" t="str">
        <f>VLOOKUP(MID(B551,8,2),'Tabel Acuan'!$A$1:$B$6,2,0)</f>
        <v>Senior Staff</v>
      </c>
      <c r="F551" s="12">
        <v>45630</v>
      </c>
      <c r="G551" s="8" cm="1">
        <f t="array" ref="G551">INDEX('Tabel Acuan'!$F$4:$F$39,
MATCH(1,('Tabel Acuan'!$D$4:$D$39='Data Gaji Pegawai'!D551)*('Tabel Acuan'!$E$4:$E$39='Data Gaji Pegawai'!E551),0))</f>
        <v>6400000</v>
      </c>
      <c r="H551">
        <f>I551/100000</f>
        <v>52</v>
      </c>
      <c r="I551" s="14">
        <v>5200000</v>
      </c>
      <c r="J551">
        <f ca="1">INT((TODAY()-F551)/30.417)</f>
        <v>18</v>
      </c>
      <c r="K551" s="13">
        <f t="shared" ca="1" si="8"/>
        <v>0</v>
      </c>
      <c r="L551" s="8">
        <f>G551*3.7%</f>
        <v>236800.00000000003</v>
      </c>
      <c r="M551" s="8">
        <f>G551*2%</f>
        <v>128000</v>
      </c>
      <c r="N551" s="8">
        <f>G551*4%</f>
        <v>256000</v>
      </c>
      <c r="O551" s="8">
        <f>G551*1%</f>
        <v>64000</v>
      </c>
      <c r="P551">
        <v>9</v>
      </c>
      <c r="Q551" s="13">
        <f>P551*200000</f>
        <v>1800000</v>
      </c>
      <c r="R551" s="8">
        <v>750000</v>
      </c>
      <c r="S551" s="9">
        <f>8%*G551</f>
        <v>512000</v>
      </c>
    </row>
    <row r="552" spans="1:19" x14ac:dyDescent="0.3">
      <c r="A552">
        <v>550</v>
      </c>
      <c r="B552" s="10" t="s">
        <v>1118</v>
      </c>
      <c r="C552" s="10" t="s">
        <v>1119</v>
      </c>
      <c r="D552" s="11" t="str">
        <f>VLOOKUP(MID(B552,6,1),'Tabel Acuan'!$A$10:$B$17,2,0)</f>
        <v>Marketing</v>
      </c>
      <c r="E552" t="str">
        <f>VLOOKUP(MID(B552,8,2),'Tabel Acuan'!$A$1:$B$6,2,0)</f>
        <v>Manager</v>
      </c>
      <c r="F552" s="12">
        <v>44674</v>
      </c>
      <c r="G552" s="8" cm="1">
        <f t="array" ref="G552">INDEX('Tabel Acuan'!$F$4:$F$39,
MATCH(1,('Tabel Acuan'!$D$4:$D$39='Data Gaji Pegawai'!D552)*('Tabel Acuan'!$E$4:$E$39='Data Gaji Pegawai'!E552),0))</f>
        <v>13000000</v>
      </c>
      <c r="H552">
        <f>I552/100000</f>
        <v>53</v>
      </c>
      <c r="I552" s="14">
        <v>5300000</v>
      </c>
      <c r="J552">
        <f ca="1">INT((TODAY()-F552)/30.417)</f>
        <v>50</v>
      </c>
      <c r="K552" s="13">
        <f t="shared" ca="1" si="8"/>
        <v>0</v>
      </c>
      <c r="L552" s="8">
        <f>G552*3.7%</f>
        <v>481000.00000000006</v>
      </c>
      <c r="M552" s="8">
        <f>G552*2%</f>
        <v>260000</v>
      </c>
      <c r="N552" s="8">
        <f>G552*4%</f>
        <v>520000</v>
      </c>
      <c r="O552" s="8">
        <f>G552*1%</f>
        <v>130000</v>
      </c>
      <c r="P552">
        <v>13</v>
      </c>
      <c r="Q552" s="13">
        <f>P552*200000</f>
        <v>2600000</v>
      </c>
      <c r="R552" s="8">
        <v>5000000</v>
      </c>
      <c r="S552" s="9">
        <f>8%*G552</f>
        <v>1040000</v>
      </c>
    </row>
    <row r="553" spans="1:19" x14ac:dyDescent="0.3">
      <c r="A553">
        <v>551</v>
      </c>
      <c r="B553" s="10" t="s">
        <v>1120</v>
      </c>
      <c r="C553" s="10" t="s">
        <v>1121</v>
      </c>
      <c r="D553" s="11" t="str">
        <f>VLOOKUP(MID(B553,6,1),'Tabel Acuan'!$A$10:$B$17,2,0)</f>
        <v>Operations</v>
      </c>
      <c r="E553" t="str">
        <f>VLOOKUP(MID(B553,8,2),'Tabel Acuan'!$A$1:$B$6,2,0)</f>
        <v>Supervisor</v>
      </c>
      <c r="F553" s="12">
        <v>45553</v>
      </c>
      <c r="G553" s="8" cm="1">
        <f t="array" ref="G553">INDEX('Tabel Acuan'!$F$4:$F$39,
MATCH(1,('Tabel Acuan'!$D$4:$D$39='Data Gaji Pegawai'!D553)*('Tabel Acuan'!$E$4:$E$39='Data Gaji Pegawai'!E553),0))</f>
        <v>7700000</v>
      </c>
      <c r="H553">
        <f>I553/100000</f>
        <v>16</v>
      </c>
      <c r="I553" s="14">
        <v>1600000</v>
      </c>
      <c r="J553">
        <f ca="1">INT((TODAY()-F553)/30.417)</f>
        <v>21</v>
      </c>
      <c r="K553" s="13">
        <f t="shared" ca="1" si="8"/>
        <v>0</v>
      </c>
      <c r="L553" s="8">
        <f>G553*3.7%</f>
        <v>284900.00000000006</v>
      </c>
      <c r="M553" s="8">
        <f>G553*2%</f>
        <v>154000</v>
      </c>
      <c r="N553" s="8">
        <f>G553*4%</f>
        <v>308000</v>
      </c>
      <c r="O553" s="8">
        <f>G553*1%</f>
        <v>77000</v>
      </c>
      <c r="P553">
        <v>5</v>
      </c>
      <c r="Q553" s="13">
        <f>P553*200000</f>
        <v>1000000</v>
      </c>
      <c r="R553" s="8">
        <v>1250000</v>
      </c>
      <c r="S553" s="9">
        <f>8%*G553</f>
        <v>616000</v>
      </c>
    </row>
    <row r="554" spans="1:19" x14ac:dyDescent="0.3">
      <c r="A554">
        <v>552</v>
      </c>
      <c r="B554" s="10" t="s">
        <v>1122</v>
      </c>
      <c r="C554" s="10" t="s">
        <v>1123</v>
      </c>
      <c r="D554" s="11" t="str">
        <f>VLOOKUP(MID(B554,6,1),'Tabel Acuan'!$A$10:$B$17,2,0)</f>
        <v>Marketing</v>
      </c>
      <c r="E554" t="str">
        <f>VLOOKUP(MID(B554,8,2),'Tabel Acuan'!$A$1:$B$6,2,0)</f>
        <v>Senior Staff</v>
      </c>
      <c r="F554" s="12">
        <v>44759</v>
      </c>
      <c r="G554" s="8" cm="1">
        <f t="array" ref="G554">INDEX('Tabel Acuan'!$F$4:$F$39,
MATCH(1,('Tabel Acuan'!$D$4:$D$39='Data Gaji Pegawai'!D554)*('Tabel Acuan'!$E$4:$E$39='Data Gaji Pegawai'!E554),0))</f>
        <v>6400000</v>
      </c>
      <c r="H554">
        <f>I554/100000</f>
        <v>8</v>
      </c>
      <c r="I554" s="14">
        <v>800000</v>
      </c>
      <c r="J554">
        <f ca="1">INT((TODAY()-F554)/30.417)</f>
        <v>47</v>
      </c>
      <c r="K554" s="13">
        <f t="shared" ca="1" si="8"/>
        <v>0</v>
      </c>
      <c r="L554" s="8">
        <f>G554*3.7%</f>
        <v>236800.00000000003</v>
      </c>
      <c r="M554" s="8">
        <f>G554*2%</f>
        <v>128000</v>
      </c>
      <c r="N554" s="8">
        <f>G554*4%</f>
        <v>256000</v>
      </c>
      <c r="O554" s="8">
        <f>G554*1%</f>
        <v>64000</v>
      </c>
      <c r="P554">
        <v>3</v>
      </c>
      <c r="Q554" s="13">
        <f>P554*200000</f>
        <v>600000</v>
      </c>
      <c r="R554" s="8">
        <v>0</v>
      </c>
      <c r="S554" s="9">
        <f>8%*G554</f>
        <v>512000</v>
      </c>
    </row>
    <row r="555" spans="1:19" x14ac:dyDescent="0.3">
      <c r="A555">
        <v>553</v>
      </c>
      <c r="B555" s="10" t="s">
        <v>1124</v>
      </c>
      <c r="C555" s="10" t="s">
        <v>1125</v>
      </c>
      <c r="D555" s="11" t="str">
        <f>VLOOKUP(MID(B555,6,1),'Tabel Acuan'!$A$10:$B$17,2,0)</f>
        <v>Operations</v>
      </c>
      <c r="E555" t="str">
        <f>VLOOKUP(MID(B555,8,2),'Tabel Acuan'!$A$1:$B$6,2,0)</f>
        <v>Assistant Manager</v>
      </c>
      <c r="F555" s="12">
        <v>45003</v>
      </c>
      <c r="G555" s="8" cm="1">
        <f t="array" ref="G555">INDEX('Tabel Acuan'!$F$4:$F$39,
MATCH(1,('Tabel Acuan'!$D$4:$D$39='Data Gaji Pegawai'!D555)*('Tabel Acuan'!$E$4:$E$39='Data Gaji Pegawai'!E555),0))</f>
        <v>9700000</v>
      </c>
      <c r="H555">
        <f>I555/100000</f>
        <v>38</v>
      </c>
      <c r="I555" s="14">
        <v>3800000</v>
      </c>
      <c r="J555">
        <f ca="1">INT((TODAY()-F555)/30.417)</f>
        <v>39</v>
      </c>
      <c r="K555" s="13">
        <f t="shared" ca="1" si="8"/>
        <v>0</v>
      </c>
      <c r="L555" s="8">
        <f>G555*3.7%</f>
        <v>358900.00000000006</v>
      </c>
      <c r="M555" s="8">
        <f>G555*2%</f>
        <v>194000</v>
      </c>
      <c r="N555" s="8">
        <f>G555*4%</f>
        <v>388000</v>
      </c>
      <c r="O555" s="8">
        <f>G555*1%</f>
        <v>97000</v>
      </c>
      <c r="P555">
        <v>3</v>
      </c>
      <c r="Q555" s="13">
        <f>P555*200000</f>
        <v>600000</v>
      </c>
      <c r="R555" s="8">
        <v>0</v>
      </c>
      <c r="S555" s="9">
        <f>8%*G555</f>
        <v>776000</v>
      </c>
    </row>
    <row r="556" spans="1:19" x14ac:dyDescent="0.3">
      <c r="A556">
        <v>554</v>
      </c>
      <c r="B556" s="10" t="s">
        <v>1126</v>
      </c>
      <c r="C556" s="10" t="s">
        <v>679</v>
      </c>
      <c r="D556" s="11" t="str">
        <f>VLOOKUP(MID(B556,6,1),'Tabel Acuan'!$A$10:$B$17,2,0)</f>
        <v>Marketing</v>
      </c>
      <c r="E556" t="str">
        <f>VLOOKUP(MID(B556,8,2),'Tabel Acuan'!$A$1:$B$6,2,0)</f>
        <v>Staff</v>
      </c>
      <c r="F556" s="12">
        <v>45352</v>
      </c>
      <c r="G556" s="8" cm="1">
        <f t="array" ref="G556">INDEX('Tabel Acuan'!$F$4:$F$39,
MATCH(1,('Tabel Acuan'!$D$4:$D$39='Data Gaji Pegawai'!D556)*('Tabel Acuan'!$E$4:$E$39='Data Gaji Pegawai'!E556),0))</f>
        <v>5300000</v>
      </c>
      <c r="H556">
        <f>I556/100000</f>
        <v>5</v>
      </c>
      <c r="I556" s="14">
        <v>500000</v>
      </c>
      <c r="J556">
        <f ca="1">INT((TODAY()-F556)/30.417)</f>
        <v>28</v>
      </c>
      <c r="K556" s="13">
        <f t="shared" ca="1" si="8"/>
        <v>0</v>
      </c>
      <c r="L556" s="8">
        <f>G556*3.7%</f>
        <v>196100.00000000003</v>
      </c>
      <c r="M556" s="8">
        <f>G556*2%</f>
        <v>106000</v>
      </c>
      <c r="N556" s="8">
        <f>G556*4%</f>
        <v>212000</v>
      </c>
      <c r="O556" s="8">
        <f>G556*1%</f>
        <v>53000</v>
      </c>
      <c r="P556">
        <v>15</v>
      </c>
      <c r="Q556" s="13">
        <f>P556*200000</f>
        <v>3000000</v>
      </c>
      <c r="R556" s="8">
        <v>3000000</v>
      </c>
      <c r="S556" s="9">
        <f>8%*G556</f>
        <v>424000</v>
      </c>
    </row>
    <row r="557" spans="1:19" x14ac:dyDescent="0.3">
      <c r="A557">
        <v>555</v>
      </c>
      <c r="B557" s="10" t="s">
        <v>1127</v>
      </c>
      <c r="C557" s="10" t="s">
        <v>1128</v>
      </c>
      <c r="D557" s="11" t="str">
        <f>VLOOKUP(MID(B557,6,1),'Tabel Acuan'!$A$10:$B$17,2,0)</f>
        <v>Operations</v>
      </c>
      <c r="E557" t="str">
        <f>VLOOKUP(MID(B557,8,2),'Tabel Acuan'!$A$1:$B$6,2,0)</f>
        <v>Staff</v>
      </c>
      <c r="F557" s="12">
        <v>45259</v>
      </c>
      <c r="G557" s="8" cm="1">
        <f t="array" ref="G557">INDEX('Tabel Acuan'!$F$4:$F$39,
MATCH(1,('Tabel Acuan'!$D$4:$D$39='Data Gaji Pegawai'!D557)*('Tabel Acuan'!$E$4:$E$39='Data Gaji Pegawai'!E557),0))</f>
        <v>5200000</v>
      </c>
      <c r="H557">
        <f>I557/100000</f>
        <v>27</v>
      </c>
      <c r="I557" s="14">
        <v>2700000</v>
      </c>
      <c r="J557">
        <f ca="1">INT((TODAY()-F557)/30.417)</f>
        <v>31</v>
      </c>
      <c r="K557" s="13">
        <f t="shared" ca="1" si="8"/>
        <v>0</v>
      </c>
      <c r="L557" s="8">
        <f>G557*3.7%</f>
        <v>192400.00000000003</v>
      </c>
      <c r="M557" s="8">
        <f>G557*2%</f>
        <v>104000</v>
      </c>
      <c r="N557" s="8">
        <f>G557*4%</f>
        <v>208000</v>
      </c>
      <c r="O557" s="8">
        <f>G557*1%</f>
        <v>52000</v>
      </c>
      <c r="P557">
        <v>13</v>
      </c>
      <c r="Q557" s="13">
        <f>P557*200000</f>
        <v>2600000</v>
      </c>
      <c r="R557" s="8">
        <v>250000</v>
      </c>
      <c r="S557" s="9">
        <f>8%*G557</f>
        <v>416000</v>
      </c>
    </row>
    <row r="558" spans="1:19" x14ac:dyDescent="0.3">
      <c r="A558">
        <v>556</v>
      </c>
      <c r="B558" s="10" t="s">
        <v>1129</v>
      </c>
      <c r="C558" s="10" t="s">
        <v>1130</v>
      </c>
      <c r="D558" s="11" t="str">
        <f>VLOOKUP(MID(B558,6,1),'Tabel Acuan'!$A$10:$B$17,2,0)</f>
        <v>Information Technology (IT)</v>
      </c>
      <c r="E558" t="str">
        <f>VLOOKUP(MID(B558,8,2),'Tabel Acuan'!$A$1:$B$6,2,0)</f>
        <v>Staff</v>
      </c>
      <c r="F558" s="12">
        <v>45122</v>
      </c>
      <c r="G558" s="8" cm="1">
        <f t="array" ref="G558">INDEX('Tabel Acuan'!$F$4:$F$39,
MATCH(1,('Tabel Acuan'!$D$4:$D$39='Data Gaji Pegawai'!D558)*('Tabel Acuan'!$E$4:$E$39='Data Gaji Pegawai'!E558),0))</f>
        <v>6000000</v>
      </c>
      <c r="H558">
        <f>I558/100000</f>
        <v>22</v>
      </c>
      <c r="I558" s="14">
        <v>2200000</v>
      </c>
      <c r="J558">
        <f ca="1">INT((TODAY()-F558)/30.417)</f>
        <v>35</v>
      </c>
      <c r="K558" s="13">
        <f t="shared" ca="1" si="8"/>
        <v>0</v>
      </c>
      <c r="L558" s="8">
        <f>G558*3.7%</f>
        <v>222000.00000000003</v>
      </c>
      <c r="M558" s="8">
        <f>G558*2%</f>
        <v>120000</v>
      </c>
      <c r="N558" s="8">
        <f>G558*4%</f>
        <v>240000</v>
      </c>
      <c r="O558" s="8">
        <f>G558*1%</f>
        <v>60000</v>
      </c>
      <c r="P558">
        <v>3</v>
      </c>
      <c r="Q558" s="13">
        <f>P558*200000</f>
        <v>600000</v>
      </c>
      <c r="R558" s="8">
        <v>1000000</v>
      </c>
      <c r="S558" s="9">
        <f>8%*G558</f>
        <v>480000</v>
      </c>
    </row>
    <row r="559" spans="1:19" x14ac:dyDescent="0.3">
      <c r="A559">
        <v>557</v>
      </c>
      <c r="B559" s="10" t="s">
        <v>1131</v>
      </c>
      <c r="C559" s="10" t="s">
        <v>1132</v>
      </c>
      <c r="D559" s="11" t="str">
        <f>VLOOKUP(MID(B559,6,1),'Tabel Acuan'!$A$10:$B$17,2,0)</f>
        <v>Operations</v>
      </c>
      <c r="E559" t="str">
        <f>VLOOKUP(MID(B559,8,2),'Tabel Acuan'!$A$1:$B$6,2,0)</f>
        <v>Staff</v>
      </c>
      <c r="F559" s="12">
        <v>44868</v>
      </c>
      <c r="G559" s="8" cm="1">
        <f t="array" ref="G559">INDEX('Tabel Acuan'!$F$4:$F$39,
MATCH(1,('Tabel Acuan'!$D$4:$D$39='Data Gaji Pegawai'!D559)*('Tabel Acuan'!$E$4:$E$39='Data Gaji Pegawai'!E559),0))</f>
        <v>5200000</v>
      </c>
      <c r="H559">
        <f>I559/100000</f>
        <v>56</v>
      </c>
      <c r="I559" s="14">
        <v>5600000</v>
      </c>
      <c r="J559">
        <f ca="1">INT((TODAY()-F559)/30.417)</f>
        <v>43</v>
      </c>
      <c r="K559" s="13">
        <f t="shared" ca="1" si="8"/>
        <v>0</v>
      </c>
      <c r="L559" s="8">
        <f>G559*3.7%</f>
        <v>192400.00000000003</v>
      </c>
      <c r="M559" s="8">
        <f>G559*2%</f>
        <v>104000</v>
      </c>
      <c r="N559" s="8">
        <f>G559*4%</f>
        <v>208000</v>
      </c>
      <c r="O559" s="8">
        <f>G559*1%</f>
        <v>52000</v>
      </c>
      <c r="P559">
        <v>13</v>
      </c>
      <c r="Q559" s="13">
        <f>P559*200000</f>
        <v>2600000</v>
      </c>
      <c r="R559" s="8">
        <v>0</v>
      </c>
      <c r="S559" s="9">
        <f>8%*G559</f>
        <v>416000</v>
      </c>
    </row>
    <row r="560" spans="1:19" x14ac:dyDescent="0.3">
      <c r="A560">
        <v>558</v>
      </c>
      <c r="B560" s="10" t="s">
        <v>1133</v>
      </c>
      <c r="C560" s="10" t="s">
        <v>1134</v>
      </c>
      <c r="D560" s="11" t="str">
        <f>VLOOKUP(MID(B560,6,1),'Tabel Acuan'!$A$10:$B$17,2,0)</f>
        <v>Sales</v>
      </c>
      <c r="E560" t="str">
        <f>VLOOKUP(MID(B560,8,2),'Tabel Acuan'!$A$1:$B$6,2,0)</f>
        <v>Supervisor</v>
      </c>
      <c r="F560" s="12">
        <v>42272</v>
      </c>
      <c r="G560" s="8" cm="1">
        <f t="array" ref="G560">INDEX('Tabel Acuan'!$F$4:$F$39,
MATCH(1,('Tabel Acuan'!$D$4:$D$39='Data Gaji Pegawai'!D560)*('Tabel Acuan'!$E$4:$E$39='Data Gaji Pegawai'!E560),0))</f>
        <v>7500000</v>
      </c>
      <c r="H560">
        <f>I560/100000</f>
        <v>7</v>
      </c>
      <c r="I560" s="14">
        <v>700000</v>
      </c>
      <c r="J560">
        <f ca="1">INT((TODAY()-F560)/30.417)</f>
        <v>129</v>
      </c>
      <c r="K560" s="13">
        <f t="shared" ca="1" si="8"/>
        <v>0</v>
      </c>
      <c r="L560" s="8">
        <f>G560*3.7%</f>
        <v>277500.00000000006</v>
      </c>
      <c r="M560" s="8">
        <f>G560*2%</f>
        <v>150000</v>
      </c>
      <c r="N560" s="8">
        <f>G560*4%</f>
        <v>300000</v>
      </c>
      <c r="O560" s="8">
        <f>G560*1%</f>
        <v>75000</v>
      </c>
      <c r="P560">
        <v>0</v>
      </c>
      <c r="Q560" s="13">
        <f>P560*200000</f>
        <v>0</v>
      </c>
      <c r="R560" s="8">
        <v>750000</v>
      </c>
      <c r="S560" s="9">
        <f>8%*G560</f>
        <v>600000</v>
      </c>
    </row>
    <row r="561" spans="1:19" x14ac:dyDescent="0.3">
      <c r="A561">
        <v>559</v>
      </c>
      <c r="B561" s="10" t="s">
        <v>1135</v>
      </c>
      <c r="C561" s="10" t="s">
        <v>1136</v>
      </c>
      <c r="D561" s="11" t="str">
        <f>VLOOKUP(MID(B561,6,1),'Tabel Acuan'!$A$10:$B$17,2,0)</f>
        <v>Information Technology (IT)</v>
      </c>
      <c r="E561" t="str">
        <f>VLOOKUP(MID(B561,8,2),'Tabel Acuan'!$A$1:$B$6,2,0)</f>
        <v>Staff</v>
      </c>
      <c r="F561" s="12">
        <v>44164</v>
      </c>
      <c r="G561" s="8" cm="1">
        <f t="array" ref="G561">INDEX('Tabel Acuan'!$F$4:$F$39,
MATCH(1,('Tabel Acuan'!$D$4:$D$39='Data Gaji Pegawai'!D561)*('Tabel Acuan'!$E$4:$E$39='Data Gaji Pegawai'!E561),0))</f>
        <v>6000000</v>
      </c>
      <c r="H561">
        <f>I561/100000</f>
        <v>37</v>
      </c>
      <c r="I561" s="14">
        <v>3700000</v>
      </c>
      <c r="J561">
        <f ca="1">INT((TODAY()-F561)/30.417)</f>
        <v>67</v>
      </c>
      <c r="K561" s="13">
        <f t="shared" ca="1" si="8"/>
        <v>0</v>
      </c>
      <c r="L561" s="8">
        <f>G561*3.7%</f>
        <v>222000.00000000003</v>
      </c>
      <c r="M561" s="8">
        <f>G561*2%</f>
        <v>120000</v>
      </c>
      <c r="N561" s="8">
        <f>G561*4%</f>
        <v>240000</v>
      </c>
      <c r="O561" s="8">
        <f>G561*1%</f>
        <v>60000</v>
      </c>
      <c r="P561">
        <v>8</v>
      </c>
      <c r="Q561" s="13">
        <f>P561*200000</f>
        <v>1600000</v>
      </c>
      <c r="R561" s="8">
        <v>0</v>
      </c>
      <c r="S561" s="9">
        <f>8%*G561</f>
        <v>480000</v>
      </c>
    </row>
    <row r="562" spans="1:19" x14ac:dyDescent="0.3">
      <c r="A562">
        <v>560</v>
      </c>
      <c r="B562" s="10" t="s">
        <v>1137</v>
      </c>
      <c r="C562" s="10" t="s">
        <v>1138</v>
      </c>
      <c r="D562" s="11" t="str">
        <f>VLOOKUP(MID(B562,6,1),'Tabel Acuan'!$A$10:$B$17,2,0)</f>
        <v>Information Technology (IT)</v>
      </c>
      <c r="E562" t="str">
        <f>VLOOKUP(MID(B562,8,2),'Tabel Acuan'!$A$1:$B$6,2,0)</f>
        <v>Senior Staff</v>
      </c>
      <c r="F562" s="12">
        <v>45275</v>
      </c>
      <c r="G562" s="8" cm="1">
        <f t="array" ref="G562">INDEX('Tabel Acuan'!$F$4:$F$39,
MATCH(1,('Tabel Acuan'!$D$4:$D$39='Data Gaji Pegawai'!D562)*('Tabel Acuan'!$E$4:$E$39='Data Gaji Pegawai'!E562),0))</f>
        <v>7500000</v>
      </c>
      <c r="H562">
        <f>I562/100000</f>
        <v>25</v>
      </c>
      <c r="I562" s="14">
        <v>2500000</v>
      </c>
      <c r="J562">
        <f ca="1">INT((TODAY()-F562)/30.417)</f>
        <v>30</v>
      </c>
      <c r="K562" s="13">
        <f t="shared" ca="1" si="8"/>
        <v>0</v>
      </c>
      <c r="L562" s="8">
        <f>G562*3.7%</f>
        <v>277500.00000000006</v>
      </c>
      <c r="M562" s="8">
        <f>G562*2%</f>
        <v>150000</v>
      </c>
      <c r="N562" s="8">
        <f>G562*4%</f>
        <v>300000</v>
      </c>
      <c r="O562" s="8">
        <f>G562*1%</f>
        <v>75000</v>
      </c>
      <c r="P562">
        <v>6</v>
      </c>
      <c r="Q562" s="13">
        <f>P562*200000</f>
        <v>1200000</v>
      </c>
      <c r="R562" s="8">
        <v>5000000</v>
      </c>
      <c r="S562" s="9">
        <f>8%*G562</f>
        <v>600000</v>
      </c>
    </row>
    <row r="563" spans="1:19" x14ac:dyDescent="0.3">
      <c r="A563">
        <v>561</v>
      </c>
      <c r="B563" s="10" t="s">
        <v>1139</v>
      </c>
      <c r="C563" s="10" t="s">
        <v>1140</v>
      </c>
      <c r="D563" s="11" t="str">
        <f>VLOOKUP(MID(B563,6,1),'Tabel Acuan'!$A$10:$B$17,2,0)</f>
        <v>Information Technology (IT)</v>
      </c>
      <c r="E563" t="str">
        <f>VLOOKUP(MID(B563,8,2),'Tabel Acuan'!$A$1:$B$6,2,0)</f>
        <v>Staff</v>
      </c>
      <c r="F563" s="12">
        <v>45174</v>
      </c>
      <c r="G563" s="8" cm="1">
        <f t="array" ref="G563">INDEX('Tabel Acuan'!$F$4:$F$39,
MATCH(1,('Tabel Acuan'!$D$4:$D$39='Data Gaji Pegawai'!D563)*('Tabel Acuan'!$E$4:$E$39='Data Gaji Pegawai'!E563),0))</f>
        <v>6000000</v>
      </c>
      <c r="H563">
        <f>I563/100000</f>
        <v>16</v>
      </c>
      <c r="I563" s="14">
        <v>1600000</v>
      </c>
      <c r="J563">
        <f ca="1">INT((TODAY()-F563)/30.417)</f>
        <v>33</v>
      </c>
      <c r="K563" s="13">
        <f t="shared" ca="1" si="8"/>
        <v>0</v>
      </c>
      <c r="L563" s="8">
        <f>G563*3.7%</f>
        <v>222000.00000000003</v>
      </c>
      <c r="M563" s="8">
        <f>G563*2%</f>
        <v>120000</v>
      </c>
      <c r="N563" s="8">
        <f>G563*4%</f>
        <v>240000</v>
      </c>
      <c r="O563" s="8">
        <f>G563*1%</f>
        <v>60000</v>
      </c>
      <c r="P563">
        <v>9</v>
      </c>
      <c r="Q563" s="13">
        <f>P563*200000</f>
        <v>1800000</v>
      </c>
      <c r="R563" s="8">
        <v>5000000</v>
      </c>
      <c r="S563" s="9">
        <f>8%*G563</f>
        <v>480000</v>
      </c>
    </row>
    <row r="564" spans="1:19" x14ac:dyDescent="0.3">
      <c r="A564">
        <v>562</v>
      </c>
      <c r="B564" s="10" t="s">
        <v>1141</v>
      </c>
      <c r="C564" s="10" t="s">
        <v>1142</v>
      </c>
      <c r="D564" s="11" t="str">
        <f>VLOOKUP(MID(B564,6,1),'Tabel Acuan'!$A$10:$B$17,2,0)</f>
        <v>Sales</v>
      </c>
      <c r="E564" t="str">
        <f>VLOOKUP(MID(B564,8,2),'Tabel Acuan'!$A$1:$B$6,2,0)</f>
        <v>Staff</v>
      </c>
      <c r="F564" s="12">
        <v>44314</v>
      </c>
      <c r="G564" s="8" cm="1">
        <f t="array" ref="G564">INDEX('Tabel Acuan'!$F$4:$F$39,
MATCH(1,('Tabel Acuan'!$D$4:$D$39='Data Gaji Pegawai'!D564)*('Tabel Acuan'!$E$4:$E$39='Data Gaji Pegawai'!E564),0))</f>
        <v>5000000</v>
      </c>
      <c r="H564">
        <f>I564/100000</f>
        <v>28</v>
      </c>
      <c r="I564" s="14">
        <v>2800000</v>
      </c>
      <c r="J564">
        <f ca="1">INT((TODAY()-F564)/30.417)</f>
        <v>62</v>
      </c>
      <c r="K564" s="13">
        <f t="shared" ca="1" si="8"/>
        <v>0</v>
      </c>
      <c r="L564" s="8">
        <f>G564*3.7%</f>
        <v>185000.00000000003</v>
      </c>
      <c r="M564" s="8">
        <f>G564*2%</f>
        <v>100000</v>
      </c>
      <c r="N564" s="8">
        <f>G564*4%</f>
        <v>200000</v>
      </c>
      <c r="O564" s="8">
        <f>G564*1%</f>
        <v>50000</v>
      </c>
      <c r="P564">
        <v>5</v>
      </c>
      <c r="Q564" s="13">
        <f>P564*200000</f>
        <v>1000000</v>
      </c>
      <c r="R564" s="8">
        <v>0</v>
      </c>
      <c r="S564" s="9">
        <f>8%*G564</f>
        <v>400000</v>
      </c>
    </row>
    <row r="565" spans="1:19" x14ac:dyDescent="0.3">
      <c r="A565">
        <v>563</v>
      </c>
      <c r="B565" s="10" t="s">
        <v>1143</v>
      </c>
      <c r="C565" s="10" t="s">
        <v>1144</v>
      </c>
      <c r="D565" s="11" t="str">
        <f>VLOOKUP(MID(B565,6,1),'Tabel Acuan'!$A$10:$B$17,2,0)</f>
        <v>Information Technology (IT)</v>
      </c>
      <c r="E565" t="str">
        <f>VLOOKUP(MID(B565,8,2),'Tabel Acuan'!$A$1:$B$6,2,0)</f>
        <v>Supervisor</v>
      </c>
      <c r="F565" s="12">
        <v>45283</v>
      </c>
      <c r="G565" s="8" cm="1">
        <f t="array" ref="G565">INDEX('Tabel Acuan'!$F$4:$F$39,
MATCH(1,('Tabel Acuan'!$D$4:$D$39='Data Gaji Pegawai'!D565)*('Tabel Acuan'!$E$4:$E$39='Data Gaji Pegawai'!E565),0))</f>
        <v>9000000</v>
      </c>
      <c r="H565">
        <f>I565/100000</f>
        <v>43</v>
      </c>
      <c r="I565" s="14">
        <v>4300000</v>
      </c>
      <c r="J565">
        <f ca="1">INT((TODAY()-F565)/30.417)</f>
        <v>30</v>
      </c>
      <c r="K565" s="13">
        <f t="shared" ca="1" si="8"/>
        <v>0</v>
      </c>
      <c r="L565" s="8">
        <f>G565*3.7%</f>
        <v>333000.00000000006</v>
      </c>
      <c r="M565" s="8">
        <f>G565*2%</f>
        <v>180000</v>
      </c>
      <c r="N565" s="8">
        <f>G565*4%</f>
        <v>360000</v>
      </c>
      <c r="O565" s="8">
        <f>G565*1%</f>
        <v>90000</v>
      </c>
      <c r="P565">
        <v>1</v>
      </c>
      <c r="Q565" s="13">
        <f>P565*200000</f>
        <v>200000</v>
      </c>
      <c r="R565" s="8">
        <v>0</v>
      </c>
      <c r="S565" s="9">
        <f>8%*G565</f>
        <v>720000</v>
      </c>
    </row>
    <row r="566" spans="1:19" x14ac:dyDescent="0.3">
      <c r="A566">
        <v>564</v>
      </c>
      <c r="B566" s="10" t="s">
        <v>1145</v>
      </c>
      <c r="C566" s="10" t="s">
        <v>1146</v>
      </c>
      <c r="D566" s="11" t="str">
        <f>VLOOKUP(MID(B566,6,1),'Tabel Acuan'!$A$10:$B$17,2,0)</f>
        <v>Human Resources (HR)</v>
      </c>
      <c r="E566" t="str">
        <f>VLOOKUP(MID(B566,8,2),'Tabel Acuan'!$A$1:$B$6,2,0)</f>
        <v>Supervisor</v>
      </c>
      <c r="F566" s="12">
        <v>45965</v>
      </c>
      <c r="G566" s="8" cm="1">
        <f t="array" ref="G566">INDEX('Tabel Acuan'!$F$4:$F$39,
MATCH(1,('Tabel Acuan'!$D$4:$D$39='Data Gaji Pegawai'!D566)*('Tabel Acuan'!$E$4:$E$39='Data Gaji Pegawai'!E566),0))</f>
        <v>7250000</v>
      </c>
      <c r="H566">
        <f>I566/100000</f>
        <v>27</v>
      </c>
      <c r="I566" s="14">
        <v>2700000</v>
      </c>
      <c r="J566">
        <f ca="1">INT((TODAY()-F566)/30.417)</f>
        <v>7</v>
      </c>
      <c r="K566" s="13">
        <f t="shared" ca="1" si="8"/>
        <v>0</v>
      </c>
      <c r="L566" s="8">
        <f>G566*3.7%</f>
        <v>268250.00000000006</v>
      </c>
      <c r="M566" s="8">
        <f>G566*2%</f>
        <v>145000</v>
      </c>
      <c r="N566" s="8">
        <f>G566*4%</f>
        <v>290000</v>
      </c>
      <c r="O566" s="8">
        <f>G566*1%</f>
        <v>72500</v>
      </c>
      <c r="P566">
        <v>2</v>
      </c>
      <c r="Q566" s="13">
        <f>P566*200000</f>
        <v>400000</v>
      </c>
      <c r="R566" s="8">
        <v>0</v>
      </c>
      <c r="S566" s="9">
        <f>8%*G566</f>
        <v>580000</v>
      </c>
    </row>
    <row r="567" spans="1:19" x14ac:dyDescent="0.3">
      <c r="A567">
        <v>565</v>
      </c>
      <c r="B567" s="10" t="s">
        <v>1147</v>
      </c>
      <c r="C567" s="10" t="s">
        <v>1148</v>
      </c>
      <c r="D567" s="11" t="str">
        <f>VLOOKUP(MID(B567,6,1),'Tabel Acuan'!$A$10:$B$17,2,0)</f>
        <v>Logistics</v>
      </c>
      <c r="E567" t="str">
        <f>VLOOKUP(MID(B567,8,2),'Tabel Acuan'!$A$1:$B$6,2,0)</f>
        <v>Staff</v>
      </c>
      <c r="F567" s="12">
        <v>43297</v>
      </c>
      <c r="G567" s="8" cm="1">
        <f t="array" ref="G567">INDEX('Tabel Acuan'!$F$4:$F$39,
MATCH(1,('Tabel Acuan'!$D$4:$D$39='Data Gaji Pegawai'!D567)*('Tabel Acuan'!$E$4:$E$39='Data Gaji Pegawai'!E567),0))</f>
        <v>5200000</v>
      </c>
      <c r="H567">
        <f>I567/100000</f>
        <v>59</v>
      </c>
      <c r="I567" s="14">
        <v>5900000</v>
      </c>
      <c r="J567">
        <f ca="1">INT((TODAY()-F567)/30.417)</f>
        <v>95</v>
      </c>
      <c r="K567" s="13">
        <f t="shared" ca="1" si="8"/>
        <v>0</v>
      </c>
      <c r="L567" s="8">
        <f>G567*3.7%</f>
        <v>192400.00000000003</v>
      </c>
      <c r="M567" s="8">
        <f>G567*2%</f>
        <v>104000</v>
      </c>
      <c r="N567" s="8">
        <f>G567*4%</f>
        <v>208000</v>
      </c>
      <c r="O567" s="8">
        <f>G567*1%</f>
        <v>52000</v>
      </c>
      <c r="P567">
        <v>12</v>
      </c>
      <c r="Q567" s="13">
        <f>P567*200000</f>
        <v>2400000</v>
      </c>
      <c r="R567" s="8">
        <v>2500000</v>
      </c>
      <c r="S567" s="9">
        <f>8%*G567</f>
        <v>416000</v>
      </c>
    </row>
    <row r="568" spans="1:19" x14ac:dyDescent="0.3">
      <c r="A568">
        <v>566</v>
      </c>
      <c r="B568" s="10" t="s">
        <v>1149</v>
      </c>
      <c r="C568" s="10" t="s">
        <v>546</v>
      </c>
      <c r="D568" s="11" t="str">
        <f>VLOOKUP(MID(B568,6,1),'Tabel Acuan'!$A$10:$B$17,2,0)</f>
        <v>Sales</v>
      </c>
      <c r="E568" t="str">
        <f>VLOOKUP(MID(B568,8,2),'Tabel Acuan'!$A$1:$B$6,2,0)</f>
        <v>Manager</v>
      </c>
      <c r="F568" s="12">
        <v>43555</v>
      </c>
      <c r="G568" s="8" cm="1">
        <f t="array" ref="G568">INDEX('Tabel Acuan'!$F$4:$F$39,
MATCH(1,('Tabel Acuan'!$D$4:$D$39='Data Gaji Pegawai'!D568)*('Tabel Acuan'!$E$4:$E$39='Data Gaji Pegawai'!E568),0))</f>
        <v>13000000</v>
      </c>
      <c r="H568">
        <f>I568/100000</f>
        <v>40</v>
      </c>
      <c r="I568" s="14">
        <v>4000000</v>
      </c>
      <c r="J568">
        <f ca="1">INT((TODAY()-F568)/30.417)</f>
        <v>87</v>
      </c>
      <c r="K568" s="13">
        <f t="shared" ca="1" si="8"/>
        <v>0</v>
      </c>
      <c r="L568" s="8">
        <f>G568*3.7%</f>
        <v>481000.00000000006</v>
      </c>
      <c r="M568" s="8">
        <f>G568*2%</f>
        <v>260000</v>
      </c>
      <c r="N568" s="8">
        <f>G568*4%</f>
        <v>520000</v>
      </c>
      <c r="O568" s="8">
        <f>G568*1%</f>
        <v>130000</v>
      </c>
      <c r="P568">
        <v>15</v>
      </c>
      <c r="Q568" s="13">
        <f>P568*200000</f>
        <v>3000000</v>
      </c>
      <c r="R568" s="8">
        <v>750000</v>
      </c>
      <c r="S568" s="9">
        <f>8%*G568</f>
        <v>1040000</v>
      </c>
    </row>
    <row r="569" spans="1:19" x14ac:dyDescent="0.3">
      <c r="A569">
        <v>567</v>
      </c>
      <c r="B569" s="10" t="s">
        <v>1150</v>
      </c>
      <c r="C569" s="10" t="s">
        <v>1151</v>
      </c>
      <c r="D569" s="11" t="str">
        <f>VLOOKUP(MID(B569,6,1),'Tabel Acuan'!$A$10:$B$17,2,0)</f>
        <v>Operations</v>
      </c>
      <c r="E569" t="str">
        <f>VLOOKUP(MID(B569,8,2),'Tabel Acuan'!$A$1:$B$6,2,0)</f>
        <v>Senior Staff</v>
      </c>
      <c r="F569" s="12">
        <v>45964</v>
      </c>
      <c r="G569" s="8" cm="1">
        <f t="array" ref="G569">INDEX('Tabel Acuan'!$F$4:$F$39,
MATCH(1,('Tabel Acuan'!$D$4:$D$39='Data Gaji Pegawai'!D569)*('Tabel Acuan'!$E$4:$E$39='Data Gaji Pegawai'!E569),0))</f>
        <v>6300000</v>
      </c>
      <c r="H569">
        <f>I569/100000</f>
        <v>32</v>
      </c>
      <c r="I569" s="14">
        <v>3200000</v>
      </c>
      <c r="J569">
        <f ca="1">INT((TODAY()-F569)/30.417)</f>
        <v>7</v>
      </c>
      <c r="K569" s="13">
        <f t="shared" ca="1" si="8"/>
        <v>0</v>
      </c>
      <c r="L569" s="8">
        <f>G569*3.7%</f>
        <v>233100.00000000003</v>
      </c>
      <c r="M569" s="8">
        <f>G569*2%</f>
        <v>126000</v>
      </c>
      <c r="N569" s="8">
        <f>G569*4%</f>
        <v>252000</v>
      </c>
      <c r="O569" s="8">
        <f>G569*1%</f>
        <v>63000</v>
      </c>
      <c r="P569">
        <v>7</v>
      </c>
      <c r="Q569" s="13">
        <f>P569*200000</f>
        <v>1400000</v>
      </c>
      <c r="R569" s="8">
        <v>3500000</v>
      </c>
      <c r="S569" s="9">
        <f>8%*G569</f>
        <v>504000</v>
      </c>
    </row>
    <row r="570" spans="1:19" x14ac:dyDescent="0.3">
      <c r="A570">
        <v>568</v>
      </c>
      <c r="B570" s="10" t="s">
        <v>1152</v>
      </c>
      <c r="C570" s="10" t="s">
        <v>1153</v>
      </c>
      <c r="D570" s="11" t="str">
        <f>VLOOKUP(MID(B570,6,1),'Tabel Acuan'!$A$10:$B$17,2,0)</f>
        <v>Logistics</v>
      </c>
      <c r="E570" t="str">
        <f>VLOOKUP(MID(B570,8,2),'Tabel Acuan'!$A$1:$B$6,2,0)</f>
        <v>Staff</v>
      </c>
      <c r="F570" s="12">
        <v>42049</v>
      </c>
      <c r="G570" s="8" cm="1">
        <f t="array" ref="G570">INDEX('Tabel Acuan'!$F$4:$F$39,
MATCH(1,('Tabel Acuan'!$D$4:$D$39='Data Gaji Pegawai'!D570)*('Tabel Acuan'!$E$4:$E$39='Data Gaji Pegawai'!E570),0))</f>
        <v>5200000</v>
      </c>
      <c r="H570">
        <f>I570/100000</f>
        <v>17</v>
      </c>
      <c r="I570" s="14">
        <v>1700000</v>
      </c>
      <c r="J570">
        <f ca="1">INT((TODAY()-F570)/30.417)</f>
        <v>136</v>
      </c>
      <c r="K570" s="13">
        <f t="shared" ca="1" si="8"/>
        <v>0</v>
      </c>
      <c r="L570" s="8">
        <f>G570*3.7%</f>
        <v>192400.00000000003</v>
      </c>
      <c r="M570" s="8">
        <f>G570*2%</f>
        <v>104000</v>
      </c>
      <c r="N570" s="8">
        <f>G570*4%</f>
        <v>208000</v>
      </c>
      <c r="O570" s="8">
        <f>G570*1%</f>
        <v>52000</v>
      </c>
      <c r="P570">
        <v>12</v>
      </c>
      <c r="Q570" s="13">
        <f>P570*200000</f>
        <v>2400000</v>
      </c>
      <c r="R570" s="8">
        <v>1500000</v>
      </c>
      <c r="S570" s="9">
        <f>8%*G570</f>
        <v>416000</v>
      </c>
    </row>
    <row r="571" spans="1:19" x14ac:dyDescent="0.3">
      <c r="A571">
        <v>569</v>
      </c>
      <c r="B571" s="10" t="s">
        <v>1154</v>
      </c>
      <c r="C571" s="10" t="s">
        <v>1155</v>
      </c>
      <c r="D571" s="11" t="str">
        <f>VLOOKUP(MID(B571,6,1),'Tabel Acuan'!$A$10:$B$17,2,0)</f>
        <v>Marketing</v>
      </c>
      <c r="E571" t="str">
        <f>VLOOKUP(MID(B571,8,2),'Tabel Acuan'!$A$1:$B$6,2,0)</f>
        <v>Staff</v>
      </c>
      <c r="F571" s="12">
        <v>44557</v>
      </c>
      <c r="G571" s="8" cm="1">
        <f t="array" ref="G571">INDEX('Tabel Acuan'!$F$4:$F$39,
MATCH(1,('Tabel Acuan'!$D$4:$D$39='Data Gaji Pegawai'!D571)*('Tabel Acuan'!$E$4:$E$39='Data Gaji Pegawai'!E571),0))</f>
        <v>5300000</v>
      </c>
      <c r="H571">
        <f>I571/100000</f>
        <v>4</v>
      </c>
      <c r="I571" s="14">
        <v>400000</v>
      </c>
      <c r="J571">
        <f ca="1">INT((TODAY()-F571)/30.417)</f>
        <v>54</v>
      </c>
      <c r="K571" s="13">
        <f t="shared" ca="1" si="8"/>
        <v>0</v>
      </c>
      <c r="L571" s="8">
        <f>G571*3.7%</f>
        <v>196100.00000000003</v>
      </c>
      <c r="M571" s="8">
        <f>G571*2%</f>
        <v>106000</v>
      </c>
      <c r="N571" s="8">
        <f>G571*4%</f>
        <v>212000</v>
      </c>
      <c r="O571" s="8">
        <f>G571*1%</f>
        <v>53000</v>
      </c>
      <c r="P571">
        <v>2</v>
      </c>
      <c r="Q571" s="13">
        <f>P571*200000</f>
        <v>400000</v>
      </c>
      <c r="R571" s="8">
        <v>4000000</v>
      </c>
      <c r="S571" s="9">
        <f>8%*G571</f>
        <v>424000</v>
      </c>
    </row>
    <row r="572" spans="1:19" x14ac:dyDescent="0.3">
      <c r="A572">
        <v>570</v>
      </c>
      <c r="B572" s="10" t="s">
        <v>1156</v>
      </c>
      <c r="C572" s="10" t="s">
        <v>1157</v>
      </c>
      <c r="D572" s="11" t="str">
        <f>VLOOKUP(MID(B572,6,1),'Tabel Acuan'!$A$10:$B$17,2,0)</f>
        <v>Marketing</v>
      </c>
      <c r="E572" t="str">
        <f>VLOOKUP(MID(B572,8,2),'Tabel Acuan'!$A$1:$B$6,2,0)</f>
        <v>Staff</v>
      </c>
      <c r="F572" s="12">
        <v>45237</v>
      </c>
      <c r="G572" s="8" cm="1">
        <f t="array" ref="G572">INDEX('Tabel Acuan'!$F$4:$F$39,
MATCH(1,('Tabel Acuan'!$D$4:$D$39='Data Gaji Pegawai'!D572)*('Tabel Acuan'!$E$4:$E$39='Data Gaji Pegawai'!E572),0))</f>
        <v>5300000</v>
      </c>
      <c r="H572">
        <f>I572/100000</f>
        <v>12</v>
      </c>
      <c r="I572" s="14">
        <v>1200000</v>
      </c>
      <c r="J572">
        <f ca="1">INT((TODAY()-F572)/30.417)</f>
        <v>31</v>
      </c>
      <c r="K572" s="13">
        <f t="shared" ca="1" si="8"/>
        <v>0</v>
      </c>
      <c r="L572" s="8">
        <f>G572*3.7%</f>
        <v>196100.00000000003</v>
      </c>
      <c r="M572" s="8">
        <f>G572*2%</f>
        <v>106000</v>
      </c>
      <c r="N572" s="8">
        <f>G572*4%</f>
        <v>212000</v>
      </c>
      <c r="O572" s="8">
        <f>G572*1%</f>
        <v>53000</v>
      </c>
      <c r="P572">
        <v>14</v>
      </c>
      <c r="Q572" s="13">
        <f>P572*200000</f>
        <v>2800000</v>
      </c>
      <c r="R572" s="8">
        <v>3000000</v>
      </c>
      <c r="S572" s="9">
        <f>8%*G572</f>
        <v>424000</v>
      </c>
    </row>
    <row r="573" spans="1:19" x14ac:dyDescent="0.3">
      <c r="A573">
        <v>571</v>
      </c>
      <c r="B573" s="10" t="s">
        <v>1158</v>
      </c>
      <c r="C573" s="10" t="s">
        <v>1159</v>
      </c>
      <c r="D573" s="11" t="str">
        <f>VLOOKUP(MID(B573,6,1),'Tabel Acuan'!$A$10:$B$17,2,0)</f>
        <v>Logistics</v>
      </c>
      <c r="E573" t="str">
        <f>VLOOKUP(MID(B573,8,2),'Tabel Acuan'!$A$1:$B$6,2,0)</f>
        <v>Staff</v>
      </c>
      <c r="F573" s="12">
        <v>42291</v>
      </c>
      <c r="G573" s="8" cm="1">
        <f t="array" ref="G573">INDEX('Tabel Acuan'!$F$4:$F$39,
MATCH(1,('Tabel Acuan'!$D$4:$D$39='Data Gaji Pegawai'!D573)*('Tabel Acuan'!$E$4:$E$39='Data Gaji Pegawai'!E573),0))</f>
        <v>5200000</v>
      </c>
      <c r="H573">
        <f>I573/100000</f>
        <v>4</v>
      </c>
      <c r="I573" s="14">
        <v>400000</v>
      </c>
      <c r="J573">
        <f ca="1">INT((TODAY()-F573)/30.417)</f>
        <v>128</v>
      </c>
      <c r="K573" s="13">
        <f t="shared" ca="1" si="8"/>
        <v>0</v>
      </c>
      <c r="L573" s="8">
        <f>G573*3.7%</f>
        <v>192400.00000000003</v>
      </c>
      <c r="M573" s="8">
        <f>G573*2%</f>
        <v>104000</v>
      </c>
      <c r="N573" s="8">
        <f>G573*4%</f>
        <v>208000</v>
      </c>
      <c r="O573" s="8">
        <f>G573*1%</f>
        <v>52000</v>
      </c>
      <c r="P573">
        <v>9</v>
      </c>
      <c r="Q573" s="13">
        <f>P573*200000</f>
        <v>1800000</v>
      </c>
      <c r="R573" s="8">
        <v>0</v>
      </c>
      <c r="S573" s="9">
        <f>8%*G573</f>
        <v>416000</v>
      </c>
    </row>
    <row r="574" spans="1:19" x14ac:dyDescent="0.3">
      <c r="A574">
        <v>572</v>
      </c>
      <c r="B574" s="10" t="s">
        <v>1160</v>
      </c>
      <c r="C574" s="10" t="s">
        <v>1161</v>
      </c>
      <c r="D574" s="11" t="str">
        <f>VLOOKUP(MID(B574,6,1),'Tabel Acuan'!$A$10:$B$17,2,0)</f>
        <v>Operations</v>
      </c>
      <c r="E574" t="str">
        <f>VLOOKUP(MID(B574,8,2),'Tabel Acuan'!$A$1:$B$6,2,0)</f>
        <v>Senior Staff</v>
      </c>
      <c r="F574" s="12">
        <v>42664</v>
      </c>
      <c r="G574" s="8" cm="1">
        <f t="array" ref="G574">INDEX('Tabel Acuan'!$F$4:$F$39,
MATCH(1,('Tabel Acuan'!$D$4:$D$39='Data Gaji Pegawai'!D574)*('Tabel Acuan'!$E$4:$E$39='Data Gaji Pegawai'!E574),0))</f>
        <v>6300000</v>
      </c>
      <c r="H574">
        <f>I574/100000</f>
        <v>16</v>
      </c>
      <c r="I574" s="14">
        <v>1600000</v>
      </c>
      <c r="J574">
        <f ca="1">INT((TODAY()-F574)/30.417)</f>
        <v>116</v>
      </c>
      <c r="K574" s="13">
        <f t="shared" ca="1" si="8"/>
        <v>0</v>
      </c>
      <c r="L574" s="8">
        <f>G574*3.7%</f>
        <v>233100.00000000003</v>
      </c>
      <c r="M574" s="8">
        <f>G574*2%</f>
        <v>126000</v>
      </c>
      <c r="N574" s="8">
        <f>G574*4%</f>
        <v>252000</v>
      </c>
      <c r="O574" s="8">
        <f>G574*1%</f>
        <v>63000</v>
      </c>
      <c r="P574">
        <v>14</v>
      </c>
      <c r="Q574" s="13">
        <f>P574*200000</f>
        <v>2800000</v>
      </c>
      <c r="R574" s="8">
        <v>3000000</v>
      </c>
      <c r="S574" s="9">
        <f>8%*G574</f>
        <v>504000</v>
      </c>
    </row>
    <row r="575" spans="1:19" x14ac:dyDescent="0.3">
      <c r="A575">
        <v>573</v>
      </c>
      <c r="B575" s="10" t="s">
        <v>1162</v>
      </c>
      <c r="C575" s="10" t="s">
        <v>1163</v>
      </c>
      <c r="D575" s="11" t="str">
        <f>VLOOKUP(MID(B575,6,1),'Tabel Acuan'!$A$10:$B$17,2,0)</f>
        <v>Operations</v>
      </c>
      <c r="E575" t="str">
        <f>VLOOKUP(MID(B575,8,2),'Tabel Acuan'!$A$1:$B$6,2,0)</f>
        <v>Staff</v>
      </c>
      <c r="F575" s="12">
        <v>44796</v>
      </c>
      <c r="G575" s="8" cm="1">
        <f t="array" ref="G575">INDEX('Tabel Acuan'!$F$4:$F$39,
MATCH(1,('Tabel Acuan'!$D$4:$D$39='Data Gaji Pegawai'!D575)*('Tabel Acuan'!$E$4:$E$39='Data Gaji Pegawai'!E575),0))</f>
        <v>5200000</v>
      </c>
      <c r="H575">
        <f>I575/100000</f>
        <v>43</v>
      </c>
      <c r="I575" s="14">
        <v>4300000</v>
      </c>
      <c r="J575">
        <f ca="1">INT((TODAY()-F575)/30.417)</f>
        <v>46</v>
      </c>
      <c r="K575" s="13">
        <f t="shared" ca="1" si="8"/>
        <v>0</v>
      </c>
      <c r="L575" s="8">
        <f>G575*3.7%</f>
        <v>192400.00000000003</v>
      </c>
      <c r="M575" s="8">
        <f>G575*2%</f>
        <v>104000</v>
      </c>
      <c r="N575" s="8">
        <f>G575*4%</f>
        <v>208000</v>
      </c>
      <c r="O575" s="8">
        <f>G575*1%</f>
        <v>52000</v>
      </c>
      <c r="P575">
        <v>14</v>
      </c>
      <c r="Q575" s="13">
        <f>P575*200000</f>
        <v>2800000</v>
      </c>
      <c r="R575" s="8">
        <v>250000</v>
      </c>
      <c r="S575" s="9">
        <f>8%*G575</f>
        <v>416000</v>
      </c>
    </row>
    <row r="576" spans="1:19" x14ac:dyDescent="0.3">
      <c r="A576">
        <v>574</v>
      </c>
      <c r="B576" s="10" t="s">
        <v>1164</v>
      </c>
      <c r="C576" s="10" t="s">
        <v>1165</v>
      </c>
      <c r="D576" s="11" t="str">
        <f>VLOOKUP(MID(B576,6,1),'Tabel Acuan'!$A$10:$B$17,2,0)</f>
        <v>Human Resources (HR)</v>
      </c>
      <c r="E576" t="str">
        <f>VLOOKUP(MID(B576,8,2),'Tabel Acuan'!$A$1:$B$6,2,0)</f>
        <v>Staff</v>
      </c>
      <c r="F576" s="12">
        <v>44674</v>
      </c>
      <c r="G576" s="8" cm="1">
        <f t="array" ref="G576">INDEX('Tabel Acuan'!$F$4:$F$39,
MATCH(1,('Tabel Acuan'!$D$4:$D$39='Data Gaji Pegawai'!D576)*('Tabel Acuan'!$E$4:$E$39='Data Gaji Pegawai'!E576),0))</f>
        <v>5000000</v>
      </c>
      <c r="H576">
        <f>I576/100000</f>
        <v>43</v>
      </c>
      <c r="I576" s="14">
        <v>4300000</v>
      </c>
      <c r="J576">
        <f ca="1">INT((TODAY()-F576)/30.417)</f>
        <v>50</v>
      </c>
      <c r="K576" s="13">
        <f t="shared" ca="1" si="8"/>
        <v>0</v>
      </c>
      <c r="L576" s="8">
        <f>G576*3.7%</f>
        <v>185000.00000000003</v>
      </c>
      <c r="M576" s="8">
        <f>G576*2%</f>
        <v>100000</v>
      </c>
      <c r="N576" s="8">
        <f>G576*4%</f>
        <v>200000</v>
      </c>
      <c r="O576" s="8">
        <f>G576*1%</f>
        <v>50000</v>
      </c>
      <c r="P576">
        <v>7</v>
      </c>
      <c r="Q576" s="13">
        <f>P576*200000</f>
        <v>1400000</v>
      </c>
      <c r="R576" s="8">
        <v>1500000</v>
      </c>
      <c r="S576" s="9">
        <f>8%*G576</f>
        <v>400000</v>
      </c>
    </row>
    <row r="577" spans="1:19" x14ac:dyDescent="0.3">
      <c r="A577">
        <v>575</v>
      </c>
      <c r="B577" s="10" t="s">
        <v>1166</v>
      </c>
      <c r="C577" s="10" t="s">
        <v>1167</v>
      </c>
      <c r="D577" s="11" t="str">
        <f>VLOOKUP(MID(B577,6,1),'Tabel Acuan'!$A$10:$B$17,2,0)</f>
        <v>Marketing</v>
      </c>
      <c r="E577" t="str">
        <f>VLOOKUP(MID(B577,8,2),'Tabel Acuan'!$A$1:$B$6,2,0)</f>
        <v>Senior Staff</v>
      </c>
      <c r="F577" s="12">
        <v>43958</v>
      </c>
      <c r="G577" s="8" cm="1">
        <f t="array" ref="G577">INDEX('Tabel Acuan'!$F$4:$F$39,
MATCH(1,('Tabel Acuan'!$D$4:$D$39='Data Gaji Pegawai'!D577)*('Tabel Acuan'!$E$4:$E$39='Data Gaji Pegawai'!E577),0))</f>
        <v>6400000</v>
      </c>
      <c r="H577">
        <f>I577/100000</f>
        <v>18</v>
      </c>
      <c r="I577" s="14">
        <v>1800000</v>
      </c>
      <c r="J577">
        <f ca="1">INT((TODAY()-F577)/30.417)</f>
        <v>73</v>
      </c>
      <c r="K577" s="13">
        <f t="shared" ca="1" si="8"/>
        <v>0</v>
      </c>
      <c r="L577" s="8">
        <f>G577*3.7%</f>
        <v>236800.00000000003</v>
      </c>
      <c r="M577" s="8">
        <f>G577*2%</f>
        <v>128000</v>
      </c>
      <c r="N577" s="8">
        <f>G577*4%</f>
        <v>256000</v>
      </c>
      <c r="O577" s="8">
        <f>G577*1%</f>
        <v>64000</v>
      </c>
      <c r="P577">
        <v>2</v>
      </c>
      <c r="Q577" s="13">
        <f>P577*200000</f>
        <v>400000</v>
      </c>
      <c r="R577" s="8">
        <v>4000000</v>
      </c>
      <c r="S577" s="9">
        <f>8%*G577</f>
        <v>512000</v>
      </c>
    </row>
    <row r="578" spans="1:19" x14ac:dyDescent="0.3">
      <c r="A578">
        <v>576</v>
      </c>
      <c r="B578" s="10" t="s">
        <v>1168</v>
      </c>
      <c r="C578" s="10" t="s">
        <v>1169</v>
      </c>
      <c r="D578" s="11" t="str">
        <f>VLOOKUP(MID(B578,6,1),'Tabel Acuan'!$A$10:$B$17,2,0)</f>
        <v>Human Resources (HR)</v>
      </c>
      <c r="E578" t="str">
        <f>VLOOKUP(MID(B578,8,2),'Tabel Acuan'!$A$1:$B$6,2,0)</f>
        <v>Senior Staff</v>
      </c>
      <c r="F578" s="12">
        <v>43991</v>
      </c>
      <c r="G578" s="8" cm="1">
        <f t="array" ref="G578">INDEX('Tabel Acuan'!$F$4:$F$39,
MATCH(1,('Tabel Acuan'!$D$4:$D$39='Data Gaji Pegawai'!D578)*('Tabel Acuan'!$E$4:$E$39='Data Gaji Pegawai'!E578),0))</f>
        <v>6000000</v>
      </c>
      <c r="H578">
        <f>I578/100000</f>
        <v>22</v>
      </c>
      <c r="I578" s="14">
        <v>2200000</v>
      </c>
      <c r="J578">
        <f ca="1">INT((TODAY()-F578)/30.417)</f>
        <v>72</v>
      </c>
      <c r="K578" s="13">
        <f t="shared" ca="1" si="8"/>
        <v>0</v>
      </c>
      <c r="L578" s="8">
        <f>G578*3.7%</f>
        <v>222000.00000000003</v>
      </c>
      <c r="M578" s="8">
        <f>G578*2%</f>
        <v>120000</v>
      </c>
      <c r="N578" s="8">
        <f>G578*4%</f>
        <v>240000</v>
      </c>
      <c r="O578" s="8">
        <f>G578*1%</f>
        <v>60000</v>
      </c>
      <c r="P578">
        <v>6</v>
      </c>
      <c r="Q578" s="13">
        <f>P578*200000</f>
        <v>1200000</v>
      </c>
      <c r="R578" s="8">
        <v>1000000</v>
      </c>
      <c r="S578" s="9">
        <f>8%*G578</f>
        <v>480000</v>
      </c>
    </row>
    <row r="579" spans="1:19" x14ac:dyDescent="0.3">
      <c r="A579">
        <v>577</v>
      </c>
      <c r="B579" s="10" t="s">
        <v>1170</v>
      </c>
      <c r="C579" s="10" t="s">
        <v>1171</v>
      </c>
      <c r="D579" s="11" t="str">
        <f>VLOOKUP(MID(B579,6,1),'Tabel Acuan'!$A$10:$B$17,2,0)</f>
        <v>Sales</v>
      </c>
      <c r="E579" t="str">
        <f>VLOOKUP(MID(B579,8,2),'Tabel Acuan'!$A$1:$B$6,2,0)</f>
        <v>Supervisor</v>
      </c>
      <c r="F579" s="12">
        <v>42838</v>
      </c>
      <c r="G579" s="8" cm="1">
        <f t="array" ref="G579">INDEX('Tabel Acuan'!$F$4:$F$39,
MATCH(1,('Tabel Acuan'!$D$4:$D$39='Data Gaji Pegawai'!D579)*('Tabel Acuan'!$E$4:$E$39='Data Gaji Pegawai'!E579),0))</f>
        <v>7500000</v>
      </c>
      <c r="H579">
        <f>I579/100000</f>
        <v>15</v>
      </c>
      <c r="I579" s="14">
        <v>1500000</v>
      </c>
      <c r="J579">
        <f ca="1">INT((TODAY()-F579)/30.417)</f>
        <v>110</v>
      </c>
      <c r="K579" s="13">
        <f t="shared" ca="1" si="8"/>
        <v>0</v>
      </c>
      <c r="L579" s="8">
        <f>G579*3.7%</f>
        <v>277500.00000000006</v>
      </c>
      <c r="M579" s="8">
        <f>G579*2%</f>
        <v>150000</v>
      </c>
      <c r="N579" s="8">
        <f>G579*4%</f>
        <v>300000</v>
      </c>
      <c r="O579" s="8">
        <f>G579*1%</f>
        <v>75000</v>
      </c>
      <c r="P579">
        <v>7</v>
      </c>
      <c r="Q579" s="13">
        <f>P579*200000</f>
        <v>1400000</v>
      </c>
      <c r="R579" s="8">
        <v>750000</v>
      </c>
      <c r="S579" s="9">
        <f>8%*G579</f>
        <v>600000</v>
      </c>
    </row>
    <row r="580" spans="1:19" x14ac:dyDescent="0.3">
      <c r="A580">
        <v>578</v>
      </c>
      <c r="B580" s="10" t="s">
        <v>1172</v>
      </c>
      <c r="C580" s="10" t="s">
        <v>1173</v>
      </c>
      <c r="D580" s="11" t="str">
        <f>VLOOKUP(MID(B580,6,1),'Tabel Acuan'!$A$10:$B$17,2,0)</f>
        <v>Finance</v>
      </c>
      <c r="E580" t="str">
        <f>VLOOKUP(MID(B580,8,2),'Tabel Acuan'!$A$1:$B$6,2,0)</f>
        <v>Supervisor</v>
      </c>
      <c r="F580" s="12">
        <v>43180</v>
      </c>
      <c r="G580" s="8" cm="1">
        <f t="array" ref="G580">INDEX('Tabel Acuan'!$F$4:$F$39,
MATCH(1,('Tabel Acuan'!$D$4:$D$39='Data Gaji Pegawai'!D580)*('Tabel Acuan'!$E$4:$E$39='Data Gaji Pegawai'!E580),0))</f>
        <v>8000000</v>
      </c>
      <c r="H580">
        <f>I580/100000</f>
        <v>49</v>
      </c>
      <c r="I580" s="14">
        <v>4900000</v>
      </c>
      <c r="J580">
        <f ca="1">INT((TODAY()-F580)/30.417)</f>
        <v>99</v>
      </c>
      <c r="K580" s="13">
        <f t="shared" ref="K580:K643" ca="1" si="9">IF(MONTH(TODAY())=12, IF(J580&gt;=12,G580,G580*(J580/12)), 0)</f>
        <v>0</v>
      </c>
      <c r="L580" s="8">
        <f>G580*3.7%</f>
        <v>296000.00000000006</v>
      </c>
      <c r="M580" s="8">
        <f>G580*2%</f>
        <v>160000</v>
      </c>
      <c r="N580" s="8">
        <f>G580*4%</f>
        <v>320000</v>
      </c>
      <c r="O580" s="8">
        <f>G580*1%</f>
        <v>80000</v>
      </c>
      <c r="P580">
        <v>3</v>
      </c>
      <c r="Q580" s="13">
        <f>P580*200000</f>
        <v>600000</v>
      </c>
      <c r="R580" s="8">
        <v>0</v>
      </c>
      <c r="S580" s="9">
        <f>8%*G580</f>
        <v>640000</v>
      </c>
    </row>
    <row r="581" spans="1:19" x14ac:dyDescent="0.3">
      <c r="A581">
        <v>579</v>
      </c>
      <c r="B581" s="10" t="s">
        <v>1174</v>
      </c>
      <c r="C581" s="10" t="s">
        <v>1175</v>
      </c>
      <c r="D581" s="11" t="str">
        <f>VLOOKUP(MID(B581,6,1),'Tabel Acuan'!$A$10:$B$17,2,0)</f>
        <v>Sales</v>
      </c>
      <c r="E581" t="str">
        <f>VLOOKUP(MID(B581,8,2),'Tabel Acuan'!$A$1:$B$6,2,0)</f>
        <v>Manager</v>
      </c>
      <c r="F581" s="12">
        <v>42373</v>
      </c>
      <c r="G581" s="8" cm="1">
        <f t="array" ref="G581">INDEX('Tabel Acuan'!$F$4:$F$39,
MATCH(1,('Tabel Acuan'!$D$4:$D$39='Data Gaji Pegawai'!D581)*('Tabel Acuan'!$E$4:$E$39='Data Gaji Pegawai'!E581),0))</f>
        <v>13000000</v>
      </c>
      <c r="H581">
        <f>I581/100000</f>
        <v>48</v>
      </c>
      <c r="I581" s="14">
        <v>4800000</v>
      </c>
      <c r="J581">
        <f ca="1">INT((TODAY()-F581)/30.417)</f>
        <v>125</v>
      </c>
      <c r="K581" s="13">
        <f t="shared" ca="1" si="9"/>
        <v>0</v>
      </c>
      <c r="L581" s="8">
        <f>G581*3.7%</f>
        <v>481000.00000000006</v>
      </c>
      <c r="M581" s="8">
        <f>G581*2%</f>
        <v>260000</v>
      </c>
      <c r="N581" s="8">
        <f>G581*4%</f>
        <v>520000</v>
      </c>
      <c r="O581" s="8">
        <f>G581*1%</f>
        <v>130000</v>
      </c>
      <c r="P581">
        <v>1</v>
      </c>
      <c r="Q581" s="13">
        <f>P581*200000</f>
        <v>200000</v>
      </c>
      <c r="R581" s="8">
        <v>1250000</v>
      </c>
      <c r="S581" s="9">
        <f>8%*G581</f>
        <v>1040000</v>
      </c>
    </row>
    <row r="582" spans="1:19" x14ac:dyDescent="0.3">
      <c r="A582">
        <v>580</v>
      </c>
      <c r="B582" s="10" t="s">
        <v>1176</v>
      </c>
      <c r="C582" s="10" t="s">
        <v>1177</v>
      </c>
      <c r="D582" s="11" t="str">
        <f>VLOOKUP(MID(B582,6,1),'Tabel Acuan'!$A$10:$B$17,2,0)</f>
        <v>Logistics</v>
      </c>
      <c r="E582" t="str">
        <f>VLOOKUP(MID(B582,8,2),'Tabel Acuan'!$A$1:$B$6,2,0)</f>
        <v>Senior Staff</v>
      </c>
      <c r="F582" s="12">
        <v>45543</v>
      </c>
      <c r="G582" s="8" cm="1">
        <f t="array" ref="G582">INDEX('Tabel Acuan'!$F$4:$F$39,
MATCH(1,('Tabel Acuan'!$D$4:$D$39='Data Gaji Pegawai'!D582)*('Tabel Acuan'!$E$4:$E$39='Data Gaji Pegawai'!E582),0))</f>
        <v>6250000</v>
      </c>
      <c r="H582">
        <f>I582/100000</f>
        <v>11</v>
      </c>
      <c r="I582" s="14">
        <v>1100000</v>
      </c>
      <c r="J582">
        <f ca="1">INT((TODAY()-F582)/30.417)</f>
        <v>21</v>
      </c>
      <c r="K582" s="13">
        <f t="shared" ca="1" si="9"/>
        <v>0</v>
      </c>
      <c r="L582" s="8">
        <f>G582*3.7%</f>
        <v>231250.00000000003</v>
      </c>
      <c r="M582" s="8">
        <f>G582*2%</f>
        <v>125000</v>
      </c>
      <c r="N582" s="8">
        <f>G582*4%</f>
        <v>250000</v>
      </c>
      <c r="O582" s="8">
        <f>G582*1%</f>
        <v>62500</v>
      </c>
      <c r="P582">
        <v>8</v>
      </c>
      <c r="Q582" s="13">
        <f>P582*200000</f>
        <v>1600000</v>
      </c>
      <c r="R582" s="8">
        <v>5000000</v>
      </c>
      <c r="S582" s="9">
        <f>8%*G582</f>
        <v>500000</v>
      </c>
    </row>
    <row r="583" spans="1:19" x14ac:dyDescent="0.3">
      <c r="A583">
        <v>581</v>
      </c>
      <c r="B583" s="10" t="s">
        <v>1178</v>
      </c>
      <c r="C583" s="10" t="s">
        <v>1179</v>
      </c>
      <c r="D583" s="11" t="str">
        <f>VLOOKUP(MID(B583,6,1),'Tabel Acuan'!$A$10:$B$17,2,0)</f>
        <v>Finance</v>
      </c>
      <c r="E583" t="str">
        <f>VLOOKUP(MID(B583,8,2),'Tabel Acuan'!$A$1:$B$6,2,0)</f>
        <v>Staff</v>
      </c>
      <c r="F583" s="12">
        <v>45568</v>
      </c>
      <c r="G583" s="8" cm="1">
        <f t="array" ref="G583">INDEX('Tabel Acuan'!$F$4:$F$39,
MATCH(1,('Tabel Acuan'!$D$4:$D$39='Data Gaji Pegawai'!D583)*('Tabel Acuan'!$E$4:$E$39='Data Gaji Pegawai'!E583),0))</f>
        <v>5500000</v>
      </c>
      <c r="H583">
        <f>I583/100000</f>
        <v>2</v>
      </c>
      <c r="I583" s="14">
        <v>200000</v>
      </c>
      <c r="J583">
        <f ca="1">INT((TODAY()-F583)/30.417)</f>
        <v>20</v>
      </c>
      <c r="K583" s="13">
        <f t="shared" ca="1" si="9"/>
        <v>0</v>
      </c>
      <c r="L583" s="8">
        <f>G583*3.7%</f>
        <v>203500.00000000003</v>
      </c>
      <c r="M583" s="8">
        <f>G583*2%</f>
        <v>110000</v>
      </c>
      <c r="N583" s="8">
        <f>G583*4%</f>
        <v>220000</v>
      </c>
      <c r="O583" s="8">
        <f>G583*1%</f>
        <v>55000</v>
      </c>
      <c r="P583">
        <v>11</v>
      </c>
      <c r="Q583" s="13">
        <f>P583*200000</f>
        <v>2200000</v>
      </c>
      <c r="R583" s="8">
        <v>3500000</v>
      </c>
      <c r="S583" s="9">
        <f>8%*G583</f>
        <v>440000</v>
      </c>
    </row>
    <row r="584" spans="1:19" x14ac:dyDescent="0.3">
      <c r="A584">
        <v>582</v>
      </c>
      <c r="B584" s="10" t="s">
        <v>1180</v>
      </c>
      <c r="C584" s="10" t="s">
        <v>1181</v>
      </c>
      <c r="D584" s="11" t="str">
        <f>VLOOKUP(MID(B584,6,1),'Tabel Acuan'!$A$10:$B$17,2,0)</f>
        <v>Information Technology (IT)</v>
      </c>
      <c r="E584" t="str">
        <f>VLOOKUP(MID(B584,8,2),'Tabel Acuan'!$A$1:$B$6,2,0)</f>
        <v>Manager</v>
      </c>
      <c r="F584" s="12">
        <v>42971</v>
      </c>
      <c r="G584" s="8" cm="1">
        <f t="array" ref="G584">INDEX('Tabel Acuan'!$F$4:$F$39,
MATCH(1,('Tabel Acuan'!$D$4:$D$39='Data Gaji Pegawai'!D584)*('Tabel Acuan'!$E$4:$E$39='Data Gaji Pegawai'!E584),0))</f>
        <v>15000000</v>
      </c>
      <c r="H584">
        <f>I584/100000</f>
        <v>20</v>
      </c>
      <c r="I584" s="14">
        <v>2000000</v>
      </c>
      <c r="J584">
        <f ca="1">INT((TODAY()-F584)/30.417)</f>
        <v>106</v>
      </c>
      <c r="K584" s="13">
        <f t="shared" ca="1" si="9"/>
        <v>0</v>
      </c>
      <c r="L584" s="8">
        <f>G584*3.7%</f>
        <v>555000.00000000012</v>
      </c>
      <c r="M584" s="8">
        <f>G584*2%</f>
        <v>300000</v>
      </c>
      <c r="N584" s="8">
        <f>G584*4%</f>
        <v>600000</v>
      </c>
      <c r="O584" s="8">
        <f>G584*1%</f>
        <v>150000</v>
      </c>
      <c r="P584">
        <v>0</v>
      </c>
      <c r="Q584" s="13">
        <f>P584*200000</f>
        <v>0</v>
      </c>
      <c r="R584" s="8">
        <v>0</v>
      </c>
      <c r="S584" s="9">
        <f>8%*G584</f>
        <v>1200000</v>
      </c>
    </row>
    <row r="585" spans="1:19" x14ac:dyDescent="0.3">
      <c r="A585">
        <v>583</v>
      </c>
      <c r="B585" s="10" t="s">
        <v>1182</v>
      </c>
      <c r="C585" s="10" t="s">
        <v>1183</v>
      </c>
      <c r="D585" s="11" t="str">
        <f>VLOOKUP(MID(B585,6,1),'Tabel Acuan'!$A$10:$B$17,2,0)</f>
        <v>Information Technology (IT)</v>
      </c>
      <c r="E585" t="str">
        <f>VLOOKUP(MID(B585,8,2),'Tabel Acuan'!$A$1:$B$6,2,0)</f>
        <v>Senior Staff</v>
      </c>
      <c r="F585" s="12">
        <v>43414</v>
      </c>
      <c r="G585" s="8" cm="1">
        <f t="array" ref="G585">INDEX('Tabel Acuan'!$F$4:$F$39,
MATCH(1,('Tabel Acuan'!$D$4:$D$39='Data Gaji Pegawai'!D585)*('Tabel Acuan'!$E$4:$E$39='Data Gaji Pegawai'!E585),0))</f>
        <v>7500000</v>
      </c>
      <c r="H585">
        <f>I585/100000</f>
        <v>55</v>
      </c>
      <c r="I585" s="14">
        <v>5500000</v>
      </c>
      <c r="J585">
        <f ca="1">INT((TODAY()-F585)/30.417)</f>
        <v>91</v>
      </c>
      <c r="K585" s="13">
        <f t="shared" ca="1" si="9"/>
        <v>0</v>
      </c>
      <c r="L585" s="8">
        <f>G585*3.7%</f>
        <v>277500.00000000006</v>
      </c>
      <c r="M585" s="8">
        <f>G585*2%</f>
        <v>150000</v>
      </c>
      <c r="N585" s="8">
        <f>G585*4%</f>
        <v>300000</v>
      </c>
      <c r="O585" s="8">
        <f>G585*1%</f>
        <v>75000</v>
      </c>
      <c r="P585">
        <v>8</v>
      </c>
      <c r="Q585" s="13">
        <f>P585*200000</f>
        <v>1600000</v>
      </c>
      <c r="R585" s="8">
        <v>0</v>
      </c>
      <c r="S585" s="9">
        <f>8%*G585</f>
        <v>600000</v>
      </c>
    </row>
    <row r="586" spans="1:19" x14ac:dyDescent="0.3">
      <c r="A586">
        <v>584</v>
      </c>
      <c r="B586" s="10" t="s">
        <v>1184</v>
      </c>
      <c r="C586" s="10" t="s">
        <v>1185</v>
      </c>
      <c r="D586" s="11" t="str">
        <f>VLOOKUP(MID(B586,6,1),'Tabel Acuan'!$A$10:$B$17,2,0)</f>
        <v>Finance</v>
      </c>
      <c r="E586" t="str">
        <f>VLOOKUP(MID(B586,8,2),'Tabel Acuan'!$A$1:$B$6,2,0)</f>
        <v>Staff</v>
      </c>
      <c r="F586" s="12">
        <v>43653</v>
      </c>
      <c r="G586" s="8" cm="1">
        <f t="array" ref="G586">INDEX('Tabel Acuan'!$F$4:$F$39,
MATCH(1,('Tabel Acuan'!$D$4:$D$39='Data Gaji Pegawai'!D586)*('Tabel Acuan'!$E$4:$E$39='Data Gaji Pegawai'!E586),0))</f>
        <v>5500000</v>
      </c>
      <c r="H586">
        <f>I586/100000</f>
        <v>11</v>
      </c>
      <c r="I586" s="14">
        <v>1100000</v>
      </c>
      <c r="J586">
        <f ca="1">INT((TODAY()-F586)/30.417)</f>
        <v>83</v>
      </c>
      <c r="K586" s="13">
        <f t="shared" ca="1" si="9"/>
        <v>0</v>
      </c>
      <c r="L586" s="8">
        <f>G586*3.7%</f>
        <v>203500.00000000003</v>
      </c>
      <c r="M586" s="8">
        <f>G586*2%</f>
        <v>110000</v>
      </c>
      <c r="N586" s="8">
        <f>G586*4%</f>
        <v>220000</v>
      </c>
      <c r="O586" s="8">
        <f>G586*1%</f>
        <v>55000</v>
      </c>
      <c r="P586">
        <v>15</v>
      </c>
      <c r="Q586" s="13">
        <f>P586*200000</f>
        <v>3000000</v>
      </c>
      <c r="R586" s="8">
        <v>1500000</v>
      </c>
      <c r="S586" s="9">
        <f>8%*G586</f>
        <v>440000</v>
      </c>
    </row>
    <row r="587" spans="1:19" x14ac:dyDescent="0.3">
      <c r="A587">
        <v>585</v>
      </c>
      <c r="B587" s="10" t="s">
        <v>1186</v>
      </c>
      <c r="C587" s="10" t="s">
        <v>1187</v>
      </c>
      <c r="D587" s="11" t="str">
        <f>VLOOKUP(MID(B587,6,1),'Tabel Acuan'!$A$10:$B$17,2,0)</f>
        <v>Logistics</v>
      </c>
      <c r="E587" t="str">
        <f>VLOOKUP(MID(B587,8,2),'Tabel Acuan'!$A$1:$B$6,2,0)</f>
        <v>Assistant Manager</v>
      </c>
      <c r="F587" s="12">
        <v>43923</v>
      </c>
      <c r="G587" s="8" cm="1">
        <f t="array" ref="G587">INDEX('Tabel Acuan'!$F$4:$F$39,
MATCH(1,('Tabel Acuan'!$D$4:$D$39='Data Gaji Pegawai'!D587)*('Tabel Acuan'!$E$4:$E$39='Data Gaji Pegawai'!E587),0))</f>
        <v>9300000</v>
      </c>
      <c r="H587">
        <f>I587/100000</f>
        <v>36</v>
      </c>
      <c r="I587" s="14">
        <v>3600000</v>
      </c>
      <c r="J587">
        <f ca="1">INT((TODAY()-F587)/30.417)</f>
        <v>75</v>
      </c>
      <c r="K587" s="13">
        <f t="shared" ca="1" si="9"/>
        <v>0</v>
      </c>
      <c r="L587" s="8">
        <f>G587*3.7%</f>
        <v>344100.00000000006</v>
      </c>
      <c r="M587" s="8">
        <f>G587*2%</f>
        <v>186000</v>
      </c>
      <c r="N587" s="8">
        <f>G587*4%</f>
        <v>372000</v>
      </c>
      <c r="O587" s="8">
        <f>G587*1%</f>
        <v>93000</v>
      </c>
      <c r="P587">
        <v>4</v>
      </c>
      <c r="Q587" s="13">
        <f>P587*200000</f>
        <v>800000</v>
      </c>
      <c r="R587" s="8">
        <v>3500000</v>
      </c>
      <c r="S587" s="9">
        <f>8%*G587</f>
        <v>744000</v>
      </c>
    </row>
    <row r="588" spans="1:19" x14ac:dyDescent="0.3">
      <c r="A588">
        <v>586</v>
      </c>
      <c r="B588" s="10" t="s">
        <v>1188</v>
      </c>
      <c r="C588" s="10" t="s">
        <v>1189</v>
      </c>
      <c r="D588" s="11" t="str">
        <f>VLOOKUP(MID(B588,6,1),'Tabel Acuan'!$A$10:$B$17,2,0)</f>
        <v>Operations</v>
      </c>
      <c r="E588" t="str">
        <f>VLOOKUP(MID(B588,8,2),'Tabel Acuan'!$A$1:$B$6,2,0)</f>
        <v>Staff</v>
      </c>
      <c r="F588" s="12">
        <v>43385</v>
      </c>
      <c r="G588" s="8" cm="1">
        <f t="array" ref="G588">INDEX('Tabel Acuan'!$F$4:$F$39,
MATCH(1,('Tabel Acuan'!$D$4:$D$39='Data Gaji Pegawai'!D588)*('Tabel Acuan'!$E$4:$E$39='Data Gaji Pegawai'!E588),0))</f>
        <v>5200000</v>
      </c>
      <c r="H588">
        <f>I588/100000</f>
        <v>27</v>
      </c>
      <c r="I588" s="14">
        <v>2700000</v>
      </c>
      <c r="J588">
        <f ca="1">INT((TODAY()-F588)/30.417)</f>
        <v>92</v>
      </c>
      <c r="K588" s="13">
        <f t="shared" ca="1" si="9"/>
        <v>0</v>
      </c>
      <c r="L588" s="8">
        <f>G588*3.7%</f>
        <v>192400.00000000003</v>
      </c>
      <c r="M588" s="8">
        <f>G588*2%</f>
        <v>104000</v>
      </c>
      <c r="N588" s="8">
        <f>G588*4%</f>
        <v>208000</v>
      </c>
      <c r="O588" s="8">
        <f>G588*1%</f>
        <v>52000</v>
      </c>
      <c r="P588">
        <v>12</v>
      </c>
      <c r="Q588" s="13">
        <f>P588*200000</f>
        <v>2400000</v>
      </c>
      <c r="R588" s="8">
        <v>0</v>
      </c>
      <c r="S588" s="9">
        <f>8%*G588</f>
        <v>416000</v>
      </c>
    </row>
    <row r="589" spans="1:19" x14ac:dyDescent="0.3">
      <c r="A589">
        <v>587</v>
      </c>
      <c r="B589" s="10" t="s">
        <v>1190</v>
      </c>
      <c r="C589" s="10" t="s">
        <v>1191</v>
      </c>
      <c r="D589" s="11" t="str">
        <f>VLOOKUP(MID(B589,6,1),'Tabel Acuan'!$A$10:$B$17,2,0)</f>
        <v>Information Technology (IT)</v>
      </c>
      <c r="E589" t="str">
        <f>VLOOKUP(MID(B589,8,2),'Tabel Acuan'!$A$1:$B$6,2,0)</f>
        <v>Supervisor</v>
      </c>
      <c r="F589" s="12">
        <v>42991</v>
      </c>
      <c r="G589" s="8" cm="1">
        <f t="array" ref="G589">INDEX('Tabel Acuan'!$F$4:$F$39,
MATCH(1,('Tabel Acuan'!$D$4:$D$39='Data Gaji Pegawai'!D589)*('Tabel Acuan'!$E$4:$E$39='Data Gaji Pegawai'!E589),0))</f>
        <v>9000000</v>
      </c>
      <c r="H589">
        <f>I589/100000</f>
        <v>8</v>
      </c>
      <c r="I589" s="14">
        <v>800000</v>
      </c>
      <c r="J589">
        <f ca="1">INT((TODAY()-F589)/30.417)</f>
        <v>105</v>
      </c>
      <c r="K589" s="13">
        <f t="shared" ca="1" si="9"/>
        <v>0</v>
      </c>
      <c r="L589" s="8">
        <f>G589*3.7%</f>
        <v>333000.00000000006</v>
      </c>
      <c r="M589" s="8">
        <f>G589*2%</f>
        <v>180000</v>
      </c>
      <c r="N589" s="8">
        <f>G589*4%</f>
        <v>360000</v>
      </c>
      <c r="O589" s="8">
        <f>G589*1%</f>
        <v>90000</v>
      </c>
      <c r="P589">
        <v>10</v>
      </c>
      <c r="Q589" s="13">
        <f>P589*200000</f>
        <v>2000000</v>
      </c>
      <c r="R589" s="8">
        <v>1000000</v>
      </c>
      <c r="S589" s="9">
        <f>8%*G589</f>
        <v>720000</v>
      </c>
    </row>
    <row r="590" spans="1:19" x14ac:dyDescent="0.3">
      <c r="A590">
        <v>588</v>
      </c>
      <c r="B590" s="10" t="s">
        <v>1192</v>
      </c>
      <c r="C590" s="10" t="s">
        <v>1193</v>
      </c>
      <c r="D590" s="11" t="str">
        <f>VLOOKUP(MID(B590,6,1),'Tabel Acuan'!$A$10:$B$17,2,0)</f>
        <v>Marketing</v>
      </c>
      <c r="E590" t="str">
        <f>VLOOKUP(MID(B590,8,2),'Tabel Acuan'!$A$1:$B$6,2,0)</f>
        <v>Assistant Manager</v>
      </c>
      <c r="F590" s="12">
        <v>43516</v>
      </c>
      <c r="G590" s="8" cm="1">
        <f t="array" ref="G590">INDEX('Tabel Acuan'!$F$4:$F$39,
MATCH(1,('Tabel Acuan'!$D$4:$D$39='Data Gaji Pegawai'!D590)*('Tabel Acuan'!$E$4:$E$39='Data Gaji Pegawai'!E590),0))</f>
        <v>9800000</v>
      </c>
      <c r="H590">
        <f>I590/100000</f>
        <v>44</v>
      </c>
      <c r="I590" s="14">
        <v>4400000</v>
      </c>
      <c r="J590">
        <f ca="1">INT((TODAY()-F590)/30.417)</f>
        <v>88</v>
      </c>
      <c r="K590" s="13">
        <f t="shared" ca="1" si="9"/>
        <v>0</v>
      </c>
      <c r="L590" s="8">
        <f>G590*3.7%</f>
        <v>362600.00000000006</v>
      </c>
      <c r="M590" s="8">
        <f>G590*2%</f>
        <v>196000</v>
      </c>
      <c r="N590" s="8">
        <f>G590*4%</f>
        <v>392000</v>
      </c>
      <c r="O590" s="8">
        <f>G590*1%</f>
        <v>98000</v>
      </c>
      <c r="P590">
        <v>5</v>
      </c>
      <c r="Q590" s="13">
        <f>P590*200000</f>
        <v>1000000</v>
      </c>
      <c r="R590" s="8">
        <v>0</v>
      </c>
      <c r="S590" s="9">
        <f>8%*G590</f>
        <v>784000</v>
      </c>
    </row>
    <row r="591" spans="1:19" x14ac:dyDescent="0.3">
      <c r="A591">
        <v>589</v>
      </c>
      <c r="B591" s="10" t="s">
        <v>1194</v>
      </c>
      <c r="C591" s="10" t="s">
        <v>690</v>
      </c>
      <c r="D591" s="11" t="str">
        <f>VLOOKUP(MID(B591,6,1),'Tabel Acuan'!$A$10:$B$17,2,0)</f>
        <v>Information Technology (IT)</v>
      </c>
      <c r="E591" t="str">
        <f>VLOOKUP(MID(B591,8,2),'Tabel Acuan'!$A$1:$B$6,2,0)</f>
        <v>Supervisor</v>
      </c>
      <c r="F591" s="12">
        <v>43637</v>
      </c>
      <c r="G591" s="8" cm="1">
        <f t="array" ref="G591">INDEX('Tabel Acuan'!$F$4:$F$39,
MATCH(1,('Tabel Acuan'!$D$4:$D$39='Data Gaji Pegawai'!D591)*('Tabel Acuan'!$E$4:$E$39='Data Gaji Pegawai'!E591),0))</f>
        <v>9000000</v>
      </c>
      <c r="H591">
        <f>I591/100000</f>
        <v>16</v>
      </c>
      <c r="I591" s="14">
        <v>1600000</v>
      </c>
      <c r="J591">
        <f ca="1">INT((TODAY()-F591)/30.417)</f>
        <v>84</v>
      </c>
      <c r="K591" s="13">
        <f t="shared" ca="1" si="9"/>
        <v>0</v>
      </c>
      <c r="L591" s="8">
        <f>G591*3.7%</f>
        <v>333000.00000000006</v>
      </c>
      <c r="M591" s="8">
        <f>G591*2%</f>
        <v>180000</v>
      </c>
      <c r="N591" s="8">
        <f>G591*4%</f>
        <v>360000</v>
      </c>
      <c r="O591" s="8">
        <f>G591*1%</f>
        <v>90000</v>
      </c>
      <c r="P591">
        <v>11</v>
      </c>
      <c r="Q591" s="13">
        <f>P591*200000</f>
        <v>2200000</v>
      </c>
      <c r="R591" s="8">
        <v>2500000</v>
      </c>
      <c r="S591" s="9">
        <f>8%*G591</f>
        <v>720000</v>
      </c>
    </row>
    <row r="592" spans="1:19" x14ac:dyDescent="0.3">
      <c r="A592">
        <v>590</v>
      </c>
      <c r="B592" s="10" t="s">
        <v>1195</v>
      </c>
      <c r="C592" s="10" t="s">
        <v>1196</v>
      </c>
      <c r="D592" s="11" t="str">
        <f>VLOOKUP(MID(B592,6,1),'Tabel Acuan'!$A$10:$B$17,2,0)</f>
        <v>Logistics</v>
      </c>
      <c r="E592" t="str">
        <f>VLOOKUP(MID(B592,8,2),'Tabel Acuan'!$A$1:$B$6,2,0)</f>
        <v>Staff</v>
      </c>
      <c r="F592" s="12">
        <v>43813</v>
      </c>
      <c r="G592" s="8" cm="1">
        <f t="array" ref="G592">INDEX('Tabel Acuan'!$F$4:$F$39,
MATCH(1,('Tabel Acuan'!$D$4:$D$39='Data Gaji Pegawai'!D592)*('Tabel Acuan'!$E$4:$E$39='Data Gaji Pegawai'!E592),0))</f>
        <v>5200000</v>
      </c>
      <c r="H592">
        <f>I592/100000</f>
        <v>38</v>
      </c>
      <c r="I592" s="14">
        <v>3800000</v>
      </c>
      <c r="J592">
        <f ca="1">INT((TODAY()-F592)/30.417)</f>
        <v>78</v>
      </c>
      <c r="K592" s="13">
        <f t="shared" ca="1" si="9"/>
        <v>0</v>
      </c>
      <c r="L592" s="8">
        <f>G592*3.7%</f>
        <v>192400.00000000003</v>
      </c>
      <c r="M592" s="8">
        <f>G592*2%</f>
        <v>104000</v>
      </c>
      <c r="N592" s="8">
        <f>G592*4%</f>
        <v>208000</v>
      </c>
      <c r="O592" s="8">
        <f>G592*1%</f>
        <v>52000</v>
      </c>
      <c r="P592">
        <v>6</v>
      </c>
      <c r="Q592" s="13">
        <f>P592*200000</f>
        <v>1200000</v>
      </c>
      <c r="R592" s="8">
        <v>3500000</v>
      </c>
      <c r="S592" s="9">
        <f>8%*G592</f>
        <v>416000</v>
      </c>
    </row>
    <row r="593" spans="1:19" x14ac:dyDescent="0.3">
      <c r="A593">
        <v>591</v>
      </c>
      <c r="B593" s="10" t="s">
        <v>1197</v>
      </c>
      <c r="C593" s="10" t="s">
        <v>1198</v>
      </c>
      <c r="D593" s="11" t="str">
        <f>VLOOKUP(MID(B593,6,1),'Tabel Acuan'!$A$10:$B$17,2,0)</f>
        <v>Marketing</v>
      </c>
      <c r="E593" t="str">
        <f>VLOOKUP(MID(B593,8,2),'Tabel Acuan'!$A$1:$B$6,2,0)</f>
        <v>Staff</v>
      </c>
      <c r="F593" s="12">
        <v>45839</v>
      </c>
      <c r="G593" s="8" cm="1">
        <f t="array" ref="G593">INDEX('Tabel Acuan'!$F$4:$F$39,
MATCH(1,('Tabel Acuan'!$D$4:$D$39='Data Gaji Pegawai'!D593)*('Tabel Acuan'!$E$4:$E$39='Data Gaji Pegawai'!E593),0))</f>
        <v>5300000</v>
      </c>
      <c r="H593">
        <f>I593/100000</f>
        <v>20</v>
      </c>
      <c r="I593" s="14">
        <v>2000000</v>
      </c>
      <c r="J593">
        <f ca="1">INT((TODAY()-F593)/30.417)</f>
        <v>12</v>
      </c>
      <c r="K593" s="13">
        <f t="shared" ca="1" si="9"/>
        <v>0</v>
      </c>
      <c r="L593" s="8">
        <f>G593*3.7%</f>
        <v>196100.00000000003</v>
      </c>
      <c r="M593" s="8">
        <f>G593*2%</f>
        <v>106000</v>
      </c>
      <c r="N593" s="8">
        <f>G593*4%</f>
        <v>212000</v>
      </c>
      <c r="O593" s="8">
        <f>G593*1%</f>
        <v>53000</v>
      </c>
      <c r="P593">
        <v>15</v>
      </c>
      <c r="Q593" s="13">
        <f>P593*200000</f>
        <v>3000000</v>
      </c>
      <c r="R593" s="8">
        <v>2000000</v>
      </c>
      <c r="S593" s="9">
        <f>8%*G593</f>
        <v>424000</v>
      </c>
    </row>
    <row r="594" spans="1:19" x14ac:dyDescent="0.3">
      <c r="A594">
        <v>592</v>
      </c>
      <c r="B594" s="10" t="s">
        <v>1199</v>
      </c>
      <c r="C594" s="10" t="s">
        <v>287</v>
      </c>
      <c r="D594" s="11" t="str">
        <f>VLOOKUP(MID(B594,6,1),'Tabel Acuan'!$A$10:$B$17,2,0)</f>
        <v>Information Technology (IT)</v>
      </c>
      <c r="E594" t="str">
        <f>VLOOKUP(MID(B594,8,2),'Tabel Acuan'!$A$1:$B$6,2,0)</f>
        <v>Senior Staff</v>
      </c>
      <c r="F594" s="12">
        <v>42444</v>
      </c>
      <c r="G594" s="8" cm="1">
        <f t="array" ref="G594">INDEX('Tabel Acuan'!$F$4:$F$39,
MATCH(1,('Tabel Acuan'!$D$4:$D$39='Data Gaji Pegawai'!D594)*('Tabel Acuan'!$E$4:$E$39='Data Gaji Pegawai'!E594),0))</f>
        <v>7500000</v>
      </c>
      <c r="H594">
        <f>I594/100000</f>
        <v>55</v>
      </c>
      <c r="I594" s="14">
        <v>5500000</v>
      </c>
      <c r="J594">
        <f ca="1">INT((TODAY()-F594)/30.417)</f>
        <v>123</v>
      </c>
      <c r="K594" s="13">
        <f t="shared" ca="1" si="9"/>
        <v>0</v>
      </c>
      <c r="L594" s="8">
        <f>G594*3.7%</f>
        <v>277500.00000000006</v>
      </c>
      <c r="M594" s="8">
        <f>G594*2%</f>
        <v>150000</v>
      </c>
      <c r="N594" s="8">
        <f>G594*4%</f>
        <v>300000</v>
      </c>
      <c r="O594" s="8">
        <f>G594*1%</f>
        <v>75000</v>
      </c>
      <c r="P594">
        <v>5</v>
      </c>
      <c r="Q594" s="13">
        <f>P594*200000</f>
        <v>1000000</v>
      </c>
      <c r="R594" s="8">
        <v>1250000</v>
      </c>
      <c r="S594" s="9">
        <f>8%*G594</f>
        <v>600000</v>
      </c>
    </row>
    <row r="595" spans="1:19" x14ac:dyDescent="0.3">
      <c r="A595">
        <v>593</v>
      </c>
      <c r="B595" s="10" t="s">
        <v>1200</v>
      </c>
      <c r="C595" s="10" t="s">
        <v>1201</v>
      </c>
      <c r="D595" s="11" t="str">
        <f>VLOOKUP(MID(B595,6,1),'Tabel Acuan'!$A$10:$B$17,2,0)</f>
        <v>Sales</v>
      </c>
      <c r="E595" t="str">
        <f>VLOOKUP(MID(B595,8,2),'Tabel Acuan'!$A$1:$B$6,2,0)</f>
        <v>Senior Staff</v>
      </c>
      <c r="F595" s="12">
        <v>44237</v>
      </c>
      <c r="G595" s="8" cm="1">
        <f t="array" ref="G595">INDEX('Tabel Acuan'!$F$4:$F$39,
MATCH(1,('Tabel Acuan'!$D$4:$D$39='Data Gaji Pegawai'!D595)*('Tabel Acuan'!$E$4:$E$39='Data Gaji Pegawai'!E595),0))</f>
        <v>6000000</v>
      </c>
      <c r="H595">
        <f>I595/100000</f>
        <v>10</v>
      </c>
      <c r="I595" s="14">
        <v>1000000</v>
      </c>
      <c r="J595">
        <f ca="1">INT((TODAY()-F595)/30.417)</f>
        <v>64</v>
      </c>
      <c r="K595" s="13">
        <f t="shared" ca="1" si="9"/>
        <v>0</v>
      </c>
      <c r="L595" s="8">
        <f>G595*3.7%</f>
        <v>222000.00000000003</v>
      </c>
      <c r="M595" s="8">
        <f>G595*2%</f>
        <v>120000</v>
      </c>
      <c r="N595" s="8">
        <f>G595*4%</f>
        <v>240000</v>
      </c>
      <c r="O595" s="8">
        <f>G595*1%</f>
        <v>60000</v>
      </c>
      <c r="P595">
        <v>10</v>
      </c>
      <c r="Q595" s="13">
        <f>P595*200000</f>
        <v>2000000</v>
      </c>
      <c r="R595" s="8">
        <v>0</v>
      </c>
      <c r="S595" s="9">
        <f>8%*G595</f>
        <v>480000</v>
      </c>
    </row>
    <row r="596" spans="1:19" x14ac:dyDescent="0.3">
      <c r="A596">
        <v>594</v>
      </c>
      <c r="B596" s="10" t="s">
        <v>1202</v>
      </c>
      <c r="C596" s="10" t="s">
        <v>1203</v>
      </c>
      <c r="D596" s="11" t="str">
        <f>VLOOKUP(MID(B596,6,1),'Tabel Acuan'!$A$10:$B$17,2,0)</f>
        <v>Sales</v>
      </c>
      <c r="E596" t="str">
        <f>VLOOKUP(MID(B596,8,2),'Tabel Acuan'!$A$1:$B$6,2,0)</f>
        <v>Staff</v>
      </c>
      <c r="F596" s="12">
        <v>44161</v>
      </c>
      <c r="G596" s="8" cm="1">
        <f t="array" ref="G596">INDEX('Tabel Acuan'!$F$4:$F$39,
MATCH(1,('Tabel Acuan'!$D$4:$D$39='Data Gaji Pegawai'!D596)*('Tabel Acuan'!$E$4:$E$39='Data Gaji Pegawai'!E596),0))</f>
        <v>5000000</v>
      </c>
      <c r="H596">
        <f>I596/100000</f>
        <v>25</v>
      </c>
      <c r="I596" s="14">
        <v>2500000</v>
      </c>
      <c r="J596">
        <f ca="1">INT((TODAY()-F596)/30.417)</f>
        <v>67</v>
      </c>
      <c r="K596" s="13">
        <f t="shared" ca="1" si="9"/>
        <v>0</v>
      </c>
      <c r="L596" s="8">
        <f>G596*3.7%</f>
        <v>185000.00000000003</v>
      </c>
      <c r="M596" s="8">
        <f>G596*2%</f>
        <v>100000</v>
      </c>
      <c r="N596" s="8">
        <f>G596*4%</f>
        <v>200000</v>
      </c>
      <c r="O596" s="8">
        <f>G596*1%</f>
        <v>50000</v>
      </c>
      <c r="P596">
        <v>8</v>
      </c>
      <c r="Q596" s="13">
        <f>P596*200000</f>
        <v>1600000</v>
      </c>
      <c r="R596" s="8">
        <v>5000000</v>
      </c>
      <c r="S596" s="9">
        <f>8%*G596</f>
        <v>400000</v>
      </c>
    </row>
    <row r="597" spans="1:19" x14ac:dyDescent="0.3">
      <c r="A597">
        <v>595</v>
      </c>
      <c r="B597" s="10" t="s">
        <v>1204</v>
      </c>
      <c r="C597" s="10" t="s">
        <v>1205</v>
      </c>
      <c r="D597" s="11" t="str">
        <f>VLOOKUP(MID(B597,6,1),'Tabel Acuan'!$A$10:$B$17,2,0)</f>
        <v>Sales</v>
      </c>
      <c r="E597" t="str">
        <f>VLOOKUP(MID(B597,8,2),'Tabel Acuan'!$A$1:$B$6,2,0)</f>
        <v>Senior Staff</v>
      </c>
      <c r="F597" s="12">
        <v>43916</v>
      </c>
      <c r="G597" s="8" cm="1">
        <f t="array" ref="G597">INDEX('Tabel Acuan'!$F$4:$F$39,
MATCH(1,('Tabel Acuan'!$D$4:$D$39='Data Gaji Pegawai'!D597)*('Tabel Acuan'!$E$4:$E$39='Data Gaji Pegawai'!E597),0))</f>
        <v>6000000</v>
      </c>
      <c r="H597">
        <f>I597/100000</f>
        <v>11</v>
      </c>
      <c r="I597" s="14">
        <v>1100000</v>
      </c>
      <c r="J597">
        <f ca="1">INT((TODAY()-F597)/30.417)</f>
        <v>75</v>
      </c>
      <c r="K597" s="13">
        <f t="shared" ca="1" si="9"/>
        <v>0</v>
      </c>
      <c r="L597" s="8">
        <f>G597*3.7%</f>
        <v>222000.00000000003</v>
      </c>
      <c r="M597" s="8">
        <f>G597*2%</f>
        <v>120000</v>
      </c>
      <c r="N597" s="8">
        <f>G597*4%</f>
        <v>240000</v>
      </c>
      <c r="O597" s="8">
        <f>G597*1%</f>
        <v>60000</v>
      </c>
      <c r="P597">
        <v>0</v>
      </c>
      <c r="Q597" s="13">
        <f>P597*200000</f>
        <v>0</v>
      </c>
      <c r="R597" s="8">
        <v>0</v>
      </c>
      <c r="S597" s="9">
        <f>8%*G597</f>
        <v>480000</v>
      </c>
    </row>
    <row r="598" spans="1:19" x14ac:dyDescent="0.3">
      <c r="A598">
        <v>596</v>
      </c>
      <c r="B598" s="10" t="s">
        <v>1206</v>
      </c>
      <c r="C598" s="10" t="s">
        <v>1207</v>
      </c>
      <c r="D598" s="11" t="str">
        <f>VLOOKUP(MID(B598,6,1),'Tabel Acuan'!$A$10:$B$17,2,0)</f>
        <v>Sales</v>
      </c>
      <c r="E598" t="str">
        <f>VLOOKUP(MID(B598,8,2),'Tabel Acuan'!$A$1:$B$6,2,0)</f>
        <v>Staff</v>
      </c>
      <c r="F598" s="12">
        <v>43141</v>
      </c>
      <c r="G598" s="8" cm="1">
        <f t="array" ref="G598">INDEX('Tabel Acuan'!$F$4:$F$39,
MATCH(1,('Tabel Acuan'!$D$4:$D$39='Data Gaji Pegawai'!D598)*('Tabel Acuan'!$E$4:$E$39='Data Gaji Pegawai'!E598),0))</f>
        <v>5000000</v>
      </c>
      <c r="H598">
        <f>I598/100000</f>
        <v>13</v>
      </c>
      <c r="I598" s="14">
        <v>1300000</v>
      </c>
      <c r="J598">
        <f ca="1">INT((TODAY()-F598)/30.417)</f>
        <v>100</v>
      </c>
      <c r="K598" s="13">
        <f t="shared" ca="1" si="9"/>
        <v>0</v>
      </c>
      <c r="L598" s="8">
        <f>G598*3.7%</f>
        <v>185000.00000000003</v>
      </c>
      <c r="M598" s="8">
        <f>G598*2%</f>
        <v>100000</v>
      </c>
      <c r="N598" s="8">
        <f>G598*4%</f>
        <v>200000</v>
      </c>
      <c r="O598" s="8">
        <f>G598*1%</f>
        <v>50000</v>
      </c>
      <c r="P598">
        <v>5</v>
      </c>
      <c r="Q598" s="13">
        <f>P598*200000</f>
        <v>1000000</v>
      </c>
      <c r="R598" s="8">
        <v>300000</v>
      </c>
      <c r="S598" s="9">
        <f>8%*G598</f>
        <v>400000</v>
      </c>
    </row>
    <row r="599" spans="1:19" x14ac:dyDescent="0.3">
      <c r="A599">
        <v>597</v>
      </c>
      <c r="B599" s="10" t="s">
        <v>1208</v>
      </c>
      <c r="C599" s="10" t="s">
        <v>1209</v>
      </c>
      <c r="D599" s="11" t="str">
        <f>VLOOKUP(MID(B599,6,1),'Tabel Acuan'!$A$10:$B$17,2,0)</f>
        <v>Information Technology (IT)</v>
      </c>
      <c r="E599" t="str">
        <f>VLOOKUP(MID(B599,8,2),'Tabel Acuan'!$A$1:$B$6,2,0)</f>
        <v>Senior Staff</v>
      </c>
      <c r="F599" s="12">
        <v>42573</v>
      </c>
      <c r="G599" s="8" cm="1">
        <f t="array" ref="G599">INDEX('Tabel Acuan'!$F$4:$F$39,
MATCH(1,('Tabel Acuan'!$D$4:$D$39='Data Gaji Pegawai'!D599)*('Tabel Acuan'!$E$4:$E$39='Data Gaji Pegawai'!E599),0))</f>
        <v>7500000</v>
      </c>
      <c r="H599">
        <f>I599/100000</f>
        <v>33</v>
      </c>
      <c r="I599" s="14">
        <v>3300000</v>
      </c>
      <c r="J599">
        <f ca="1">INT((TODAY()-F599)/30.417)</f>
        <v>119</v>
      </c>
      <c r="K599" s="13">
        <f t="shared" ca="1" si="9"/>
        <v>0</v>
      </c>
      <c r="L599" s="8">
        <f>G599*3.7%</f>
        <v>277500.00000000006</v>
      </c>
      <c r="M599" s="8">
        <f>G599*2%</f>
        <v>150000</v>
      </c>
      <c r="N599" s="8">
        <f>G599*4%</f>
        <v>300000</v>
      </c>
      <c r="O599" s="8">
        <f>G599*1%</f>
        <v>75000</v>
      </c>
      <c r="P599">
        <v>2</v>
      </c>
      <c r="Q599" s="13">
        <f>P599*200000</f>
        <v>400000</v>
      </c>
      <c r="R599" s="8">
        <v>0</v>
      </c>
      <c r="S599" s="9">
        <f>8%*G599</f>
        <v>600000</v>
      </c>
    </row>
    <row r="600" spans="1:19" x14ac:dyDescent="0.3">
      <c r="A600">
        <v>598</v>
      </c>
      <c r="B600" s="10" t="s">
        <v>1210</v>
      </c>
      <c r="C600" s="10" t="s">
        <v>1211</v>
      </c>
      <c r="D600" s="11" t="str">
        <f>VLOOKUP(MID(B600,6,1),'Tabel Acuan'!$A$10:$B$17,2,0)</f>
        <v>Finance</v>
      </c>
      <c r="E600" t="str">
        <f>VLOOKUP(MID(B600,8,2),'Tabel Acuan'!$A$1:$B$6,2,0)</f>
        <v>Staff</v>
      </c>
      <c r="F600" s="12">
        <v>45409</v>
      </c>
      <c r="G600" s="8" cm="1">
        <f t="array" ref="G600">INDEX('Tabel Acuan'!$F$4:$F$39,
MATCH(1,('Tabel Acuan'!$D$4:$D$39='Data Gaji Pegawai'!D600)*('Tabel Acuan'!$E$4:$E$39='Data Gaji Pegawai'!E600),0))</f>
        <v>5500000</v>
      </c>
      <c r="H600">
        <f>I600/100000</f>
        <v>15</v>
      </c>
      <c r="I600" s="14">
        <v>1500000</v>
      </c>
      <c r="J600">
        <f ca="1">INT((TODAY()-F600)/30.417)</f>
        <v>26</v>
      </c>
      <c r="K600" s="13">
        <f t="shared" ca="1" si="9"/>
        <v>0</v>
      </c>
      <c r="L600" s="8">
        <f>G600*3.7%</f>
        <v>203500.00000000003</v>
      </c>
      <c r="M600" s="8">
        <f>G600*2%</f>
        <v>110000</v>
      </c>
      <c r="N600" s="8">
        <f>G600*4%</f>
        <v>220000</v>
      </c>
      <c r="O600" s="8">
        <f>G600*1%</f>
        <v>55000</v>
      </c>
      <c r="P600">
        <v>9</v>
      </c>
      <c r="Q600" s="13">
        <f>P600*200000</f>
        <v>1800000</v>
      </c>
      <c r="R600" s="8">
        <v>500000</v>
      </c>
      <c r="S600" s="9">
        <f>8%*G600</f>
        <v>440000</v>
      </c>
    </row>
    <row r="601" spans="1:19" x14ac:dyDescent="0.3">
      <c r="A601">
        <v>599</v>
      </c>
      <c r="B601" s="10" t="s">
        <v>1212</v>
      </c>
      <c r="C601" s="10" t="s">
        <v>1213</v>
      </c>
      <c r="D601" s="11" t="str">
        <f>VLOOKUP(MID(B601,6,1),'Tabel Acuan'!$A$10:$B$17,2,0)</f>
        <v>Marketing</v>
      </c>
      <c r="E601" t="str">
        <f>VLOOKUP(MID(B601,8,2),'Tabel Acuan'!$A$1:$B$6,2,0)</f>
        <v>Supervisor</v>
      </c>
      <c r="F601" s="12">
        <v>43075</v>
      </c>
      <c r="G601" s="8" cm="1">
        <f t="array" ref="G601">INDEX('Tabel Acuan'!$F$4:$F$39,
MATCH(1,('Tabel Acuan'!$D$4:$D$39='Data Gaji Pegawai'!D601)*('Tabel Acuan'!$E$4:$E$39='Data Gaji Pegawai'!E601),0))</f>
        <v>7800000</v>
      </c>
      <c r="H601">
        <f>I601/100000</f>
        <v>22</v>
      </c>
      <c r="I601" s="14">
        <v>2200000</v>
      </c>
      <c r="J601">
        <f ca="1">INT((TODAY()-F601)/30.417)</f>
        <v>102</v>
      </c>
      <c r="K601" s="13">
        <f t="shared" ca="1" si="9"/>
        <v>0</v>
      </c>
      <c r="L601" s="8">
        <f>G601*3.7%</f>
        <v>288600.00000000006</v>
      </c>
      <c r="M601" s="8">
        <f>G601*2%</f>
        <v>156000</v>
      </c>
      <c r="N601" s="8">
        <f>G601*4%</f>
        <v>312000</v>
      </c>
      <c r="O601" s="8">
        <f>G601*1%</f>
        <v>78000</v>
      </c>
      <c r="P601">
        <v>10</v>
      </c>
      <c r="Q601" s="13">
        <f>P601*200000</f>
        <v>2000000</v>
      </c>
      <c r="R601" s="8">
        <v>2000000</v>
      </c>
      <c r="S601" s="9">
        <f>8%*G601</f>
        <v>624000</v>
      </c>
    </row>
    <row r="602" spans="1:19" x14ac:dyDescent="0.3">
      <c r="A602">
        <v>600</v>
      </c>
      <c r="B602" s="10" t="s">
        <v>1214</v>
      </c>
      <c r="C602" s="10" t="s">
        <v>1215</v>
      </c>
      <c r="D602" s="11" t="str">
        <f>VLOOKUP(MID(B602,6,1),'Tabel Acuan'!$A$10:$B$17,2,0)</f>
        <v>Logistics</v>
      </c>
      <c r="E602" t="str">
        <f>VLOOKUP(MID(B602,8,2),'Tabel Acuan'!$A$1:$B$6,2,0)</f>
        <v>Senior Staff</v>
      </c>
      <c r="F602" s="12">
        <v>45203</v>
      </c>
      <c r="G602" s="8" cm="1">
        <f t="array" ref="G602">INDEX('Tabel Acuan'!$F$4:$F$39,
MATCH(1,('Tabel Acuan'!$D$4:$D$39='Data Gaji Pegawai'!D602)*('Tabel Acuan'!$E$4:$E$39='Data Gaji Pegawai'!E602),0))</f>
        <v>6250000</v>
      </c>
      <c r="H602">
        <f>I602/100000</f>
        <v>11</v>
      </c>
      <c r="I602" s="14">
        <v>1100000</v>
      </c>
      <c r="J602">
        <f ca="1">INT((TODAY()-F602)/30.417)</f>
        <v>32</v>
      </c>
      <c r="K602" s="13">
        <f t="shared" ca="1" si="9"/>
        <v>0</v>
      </c>
      <c r="L602" s="8">
        <f>G602*3.7%</f>
        <v>231250.00000000003</v>
      </c>
      <c r="M602" s="8">
        <f>G602*2%</f>
        <v>125000</v>
      </c>
      <c r="N602" s="8">
        <f>G602*4%</f>
        <v>250000</v>
      </c>
      <c r="O602" s="8">
        <f>G602*1%</f>
        <v>62500</v>
      </c>
      <c r="P602">
        <v>14</v>
      </c>
      <c r="Q602" s="13">
        <f>P602*200000</f>
        <v>2800000</v>
      </c>
      <c r="R602" s="8">
        <v>3500000</v>
      </c>
      <c r="S602" s="9">
        <f>8%*G602</f>
        <v>500000</v>
      </c>
    </row>
    <row r="603" spans="1:19" x14ac:dyDescent="0.3">
      <c r="A603">
        <v>601</v>
      </c>
      <c r="B603" s="10" t="s">
        <v>1216</v>
      </c>
      <c r="C603" s="10" t="s">
        <v>1217</v>
      </c>
      <c r="D603" s="11" t="str">
        <f>VLOOKUP(MID(B603,6,1),'Tabel Acuan'!$A$10:$B$17,2,0)</f>
        <v>Information Technology (IT)</v>
      </c>
      <c r="E603" t="str">
        <f>VLOOKUP(MID(B603,8,2),'Tabel Acuan'!$A$1:$B$6,2,0)</f>
        <v>Senior Staff</v>
      </c>
      <c r="F603" s="12">
        <v>45450</v>
      </c>
      <c r="G603" s="8" cm="1">
        <f t="array" ref="G603">INDEX('Tabel Acuan'!$F$4:$F$39,
MATCH(1,('Tabel Acuan'!$D$4:$D$39='Data Gaji Pegawai'!D603)*('Tabel Acuan'!$E$4:$E$39='Data Gaji Pegawai'!E603),0))</f>
        <v>7500000</v>
      </c>
      <c r="H603">
        <f>I603/100000</f>
        <v>58</v>
      </c>
      <c r="I603" s="14">
        <v>5800000</v>
      </c>
      <c r="J603">
        <f ca="1">INT((TODAY()-F603)/30.417)</f>
        <v>24</v>
      </c>
      <c r="K603" s="13">
        <f t="shared" ca="1" si="9"/>
        <v>0</v>
      </c>
      <c r="L603" s="8">
        <f>G603*3.7%</f>
        <v>277500.00000000006</v>
      </c>
      <c r="M603" s="8">
        <f>G603*2%</f>
        <v>150000</v>
      </c>
      <c r="N603" s="8">
        <f>G603*4%</f>
        <v>300000</v>
      </c>
      <c r="O603" s="8">
        <f>G603*1%</f>
        <v>75000</v>
      </c>
      <c r="P603">
        <v>11</v>
      </c>
      <c r="Q603" s="13">
        <f>P603*200000</f>
        <v>2200000</v>
      </c>
      <c r="R603" s="8">
        <v>750000</v>
      </c>
      <c r="S603" s="9">
        <f>8%*G603</f>
        <v>600000</v>
      </c>
    </row>
    <row r="604" spans="1:19" x14ac:dyDescent="0.3">
      <c r="A604">
        <v>602</v>
      </c>
      <c r="B604" s="10" t="s">
        <v>1218</v>
      </c>
      <c r="C604" s="10" t="s">
        <v>1219</v>
      </c>
      <c r="D604" s="11" t="str">
        <f>VLOOKUP(MID(B604,6,1),'Tabel Acuan'!$A$10:$B$17,2,0)</f>
        <v>Information Technology (IT)</v>
      </c>
      <c r="E604" t="str">
        <f>VLOOKUP(MID(B604,8,2),'Tabel Acuan'!$A$1:$B$6,2,0)</f>
        <v>Staff</v>
      </c>
      <c r="F604" s="12">
        <v>42449</v>
      </c>
      <c r="G604" s="8" cm="1">
        <f t="array" ref="G604">INDEX('Tabel Acuan'!$F$4:$F$39,
MATCH(1,('Tabel Acuan'!$D$4:$D$39='Data Gaji Pegawai'!D604)*('Tabel Acuan'!$E$4:$E$39='Data Gaji Pegawai'!E604),0))</f>
        <v>6000000</v>
      </c>
      <c r="H604">
        <f>I604/100000</f>
        <v>19</v>
      </c>
      <c r="I604" s="14">
        <v>1900000</v>
      </c>
      <c r="J604">
        <f ca="1">INT((TODAY()-F604)/30.417)</f>
        <v>123</v>
      </c>
      <c r="K604" s="13">
        <f t="shared" ca="1" si="9"/>
        <v>0</v>
      </c>
      <c r="L604" s="8">
        <f>G604*3.7%</f>
        <v>222000.00000000003</v>
      </c>
      <c r="M604" s="8">
        <f>G604*2%</f>
        <v>120000</v>
      </c>
      <c r="N604" s="8">
        <f>G604*4%</f>
        <v>240000</v>
      </c>
      <c r="O604" s="8">
        <f>G604*1%</f>
        <v>60000</v>
      </c>
      <c r="P604">
        <v>0</v>
      </c>
      <c r="Q604" s="13">
        <f>P604*200000</f>
        <v>0</v>
      </c>
      <c r="R604" s="8">
        <v>0</v>
      </c>
      <c r="S604" s="9">
        <f>8%*G604</f>
        <v>480000</v>
      </c>
    </row>
    <row r="605" spans="1:19" x14ac:dyDescent="0.3">
      <c r="A605">
        <v>603</v>
      </c>
      <c r="B605" s="10" t="s">
        <v>1220</v>
      </c>
      <c r="C605" s="10" t="s">
        <v>1221</v>
      </c>
      <c r="D605" s="11" t="str">
        <f>VLOOKUP(MID(B605,6,1),'Tabel Acuan'!$A$10:$B$17,2,0)</f>
        <v>Logistics</v>
      </c>
      <c r="E605" t="str">
        <f>VLOOKUP(MID(B605,8,2),'Tabel Acuan'!$A$1:$B$6,2,0)</f>
        <v>Staff</v>
      </c>
      <c r="F605" s="12">
        <v>43088</v>
      </c>
      <c r="G605" s="8" cm="1">
        <f t="array" ref="G605">INDEX('Tabel Acuan'!$F$4:$F$39,
MATCH(1,('Tabel Acuan'!$D$4:$D$39='Data Gaji Pegawai'!D605)*('Tabel Acuan'!$E$4:$E$39='Data Gaji Pegawai'!E605),0))</f>
        <v>5200000</v>
      </c>
      <c r="H605">
        <f>I605/100000</f>
        <v>59</v>
      </c>
      <c r="I605" s="14">
        <v>5900000</v>
      </c>
      <c r="J605">
        <f ca="1">INT((TODAY()-F605)/30.417)</f>
        <v>102</v>
      </c>
      <c r="K605" s="13">
        <f t="shared" ca="1" si="9"/>
        <v>0</v>
      </c>
      <c r="L605" s="8">
        <f>G605*3.7%</f>
        <v>192400.00000000003</v>
      </c>
      <c r="M605" s="8">
        <f>G605*2%</f>
        <v>104000</v>
      </c>
      <c r="N605" s="8">
        <f>G605*4%</f>
        <v>208000</v>
      </c>
      <c r="O605" s="8">
        <f>G605*1%</f>
        <v>52000</v>
      </c>
      <c r="P605">
        <v>15</v>
      </c>
      <c r="Q605" s="13">
        <f>P605*200000</f>
        <v>3000000</v>
      </c>
      <c r="R605" s="8">
        <v>2000000</v>
      </c>
      <c r="S605" s="9">
        <f>8%*G605</f>
        <v>416000</v>
      </c>
    </row>
    <row r="606" spans="1:19" x14ac:dyDescent="0.3">
      <c r="A606">
        <v>604</v>
      </c>
      <c r="B606" s="10" t="s">
        <v>1222</v>
      </c>
      <c r="C606" s="10" t="s">
        <v>1223</v>
      </c>
      <c r="D606" s="11" t="str">
        <f>VLOOKUP(MID(B606,6,1),'Tabel Acuan'!$A$10:$B$17,2,0)</f>
        <v>Human Resources (HR)</v>
      </c>
      <c r="E606" t="str">
        <f>VLOOKUP(MID(B606,8,2),'Tabel Acuan'!$A$1:$B$6,2,0)</f>
        <v>Supervisor</v>
      </c>
      <c r="F606" s="12">
        <v>43584</v>
      </c>
      <c r="G606" s="8" cm="1">
        <f t="array" ref="G606">INDEX('Tabel Acuan'!$F$4:$F$39,
MATCH(1,('Tabel Acuan'!$D$4:$D$39='Data Gaji Pegawai'!D606)*('Tabel Acuan'!$E$4:$E$39='Data Gaji Pegawai'!E606),0))</f>
        <v>7250000</v>
      </c>
      <c r="H606">
        <f>I606/100000</f>
        <v>50</v>
      </c>
      <c r="I606" s="14">
        <v>5000000</v>
      </c>
      <c r="J606">
        <f ca="1">INT((TODAY()-F606)/30.417)</f>
        <v>86</v>
      </c>
      <c r="K606" s="13">
        <f t="shared" ca="1" si="9"/>
        <v>0</v>
      </c>
      <c r="L606" s="8">
        <f>G606*3.7%</f>
        <v>268250.00000000006</v>
      </c>
      <c r="M606" s="8">
        <f>G606*2%</f>
        <v>145000</v>
      </c>
      <c r="N606" s="8">
        <f>G606*4%</f>
        <v>290000</v>
      </c>
      <c r="O606" s="8">
        <f>G606*1%</f>
        <v>72500</v>
      </c>
      <c r="P606">
        <v>0</v>
      </c>
      <c r="Q606" s="13">
        <f>P606*200000</f>
        <v>0</v>
      </c>
      <c r="R606" s="8">
        <v>750000</v>
      </c>
      <c r="S606" s="9">
        <f>8%*G606</f>
        <v>580000</v>
      </c>
    </row>
    <row r="607" spans="1:19" x14ac:dyDescent="0.3">
      <c r="A607">
        <v>605</v>
      </c>
      <c r="B607" s="10" t="s">
        <v>1224</v>
      </c>
      <c r="C607" s="10" t="s">
        <v>1225</v>
      </c>
      <c r="D607" s="11" t="str">
        <f>VLOOKUP(MID(B607,6,1),'Tabel Acuan'!$A$10:$B$17,2,0)</f>
        <v>Marketing</v>
      </c>
      <c r="E607" t="str">
        <f>VLOOKUP(MID(B607,8,2),'Tabel Acuan'!$A$1:$B$6,2,0)</f>
        <v>Senior Staff</v>
      </c>
      <c r="F607" s="12">
        <v>44527</v>
      </c>
      <c r="G607" s="8" cm="1">
        <f t="array" ref="G607">INDEX('Tabel Acuan'!$F$4:$F$39,
MATCH(1,('Tabel Acuan'!$D$4:$D$39='Data Gaji Pegawai'!D607)*('Tabel Acuan'!$E$4:$E$39='Data Gaji Pegawai'!E607),0))</f>
        <v>6400000</v>
      </c>
      <c r="H607">
        <f>I607/100000</f>
        <v>24</v>
      </c>
      <c r="I607" s="14">
        <v>2400000</v>
      </c>
      <c r="J607">
        <f ca="1">INT((TODAY()-F607)/30.417)</f>
        <v>55</v>
      </c>
      <c r="K607" s="13">
        <f t="shared" ca="1" si="9"/>
        <v>0</v>
      </c>
      <c r="L607" s="8">
        <f>G607*3.7%</f>
        <v>236800.00000000003</v>
      </c>
      <c r="M607" s="8">
        <f>G607*2%</f>
        <v>128000</v>
      </c>
      <c r="N607" s="8">
        <f>G607*4%</f>
        <v>256000</v>
      </c>
      <c r="O607" s="8">
        <f>G607*1%</f>
        <v>64000</v>
      </c>
      <c r="P607">
        <v>12</v>
      </c>
      <c r="Q607" s="13">
        <f>P607*200000</f>
        <v>2400000</v>
      </c>
      <c r="R607" s="8">
        <v>0</v>
      </c>
      <c r="S607" s="9">
        <f>8%*G607</f>
        <v>512000</v>
      </c>
    </row>
    <row r="608" spans="1:19" x14ac:dyDescent="0.3">
      <c r="A608">
        <v>606</v>
      </c>
      <c r="B608" s="10" t="s">
        <v>1226</v>
      </c>
      <c r="C608" s="10" t="s">
        <v>1227</v>
      </c>
      <c r="D608" s="11" t="str">
        <f>VLOOKUP(MID(B608,6,1),'Tabel Acuan'!$A$10:$B$17,2,0)</f>
        <v>Information Technology (IT)</v>
      </c>
      <c r="E608" t="str">
        <f>VLOOKUP(MID(B608,8,2),'Tabel Acuan'!$A$1:$B$6,2,0)</f>
        <v>Senior Staff</v>
      </c>
      <c r="F608" s="12">
        <v>42683</v>
      </c>
      <c r="G608" s="8" cm="1">
        <f t="array" ref="G608">INDEX('Tabel Acuan'!$F$4:$F$39,
MATCH(1,('Tabel Acuan'!$D$4:$D$39='Data Gaji Pegawai'!D608)*('Tabel Acuan'!$E$4:$E$39='Data Gaji Pegawai'!E608),0))</f>
        <v>7500000</v>
      </c>
      <c r="H608">
        <f>I608/100000</f>
        <v>51</v>
      </c>
      <c r="I608" s="14">
        <v>5100000</v>
      </c>
      <c r="J608">
        <f ca="1">INT((TODAY()-F608)/30.417)</f>
        <v>115</v>
      </c>
      <c r="K608" s="13">
        <f t="shared" ca="1" si="9"/>
        <v>0</v>
      </c>
      <c r="L608" s="8">
        <f>G608*3.7%</f>
        <v>277500.00000000006</v>
      </c>
      <c r="M608" s="8">
        <f>G608*2%</f>
        <v>150000</v>
      </c>
      <c r="N608" s="8">
        <f>G608*4%</f>
        <v>300000</v>
      </c>
      <c r="O608" s="8">
        <f>G608*1%</f>
        <v>75000</v>
      </c>
      <c r="P608">
        <v>8</v>
      </c>
      <c r="Q608" s="13">
        <f>P608*200000</f>
        <v>1600000</v>
      </c>
      <c r="R608" s="8">
        <v>0</v>
      </c>
      <c r="S608" s="9">
        <f>8%*G608</f>
        <v>600000</v>
      </c>
    </row>
    <row r="609" spans="1:19" x14ac:dyDescent="0.3">
      <c r="A609">
        <v>607</v>
      </c>
      <c r="B609" s="10" t="s">
        <v>1228</v>
      </c>
      <c r="C609" s="10" t="s">
        <v>1229</v>
      </c>
      <c r="D609" s="11" t="str">
        <f>VLOOKUP(MID(B609,6,1),'Tabel Acuan'!$A$10:$B$17,2,0)</f>
        <v>Operations</v>
      </c>
      <c r="E609" t="str">
        <f>VLOOKUP(MID(B609,8,2),'Tabel Acuan'!$A$1:$B$6,2,0)</f>
        <v>Staff</v>
      </c>
      <c r="F609" s="12">
        <v>45020</v>
      </c>
      <c r="G609" s="8" cm="1">
        <f t="array" ref="G609">INDEX('Tabel Acuan'!$F$4:$F$39,
MATCH(1,('Tabel Acuan'!$D$4:$D$39='Data Gaji Pegawai'!D609)*('Tabel Acuan'!$E$4:$E$39='Data Gaji Pegawai'!E609),0))</f>
        <v>5200000</v>
      </c>
      <c r="H609">
        <f>I609/100000</f>
        <v>8</v>
      </c>
      <c r="I609" s="14">
        <v>800000</v>
      </c>
      <c r="J609">
        <f ca="1">INT((TODAY()-F609)/30.417)</f>
        <v>38</v>
      </c>
      <c r="K609" s="13">
        <f t="shared" ca="1" si="9"/>
        <v>0</v>
      </c>
      <c r="L609" s="8">
        <f>G609*3.7%</f>
        <v>192400.00000000003</v>
      </c>
      <c r="M609" s="8">
        <f>G609*2%</f>
        <v>104000</v>
      </c>
      <c r="N609" s="8">
        <f>G609*4%</f>
        <v>208000</v>
      </c>
      <c r="O609" s="8">
        <f>G609*1%</f>
        <v>52000</v>
      </c>
      <c r="P609">
        <v>9</v>
      </c>
      <c r="Q609" s="13">
        <f>P609*200000</f>
        <v>1800000</v>
      </c>
      <c r="R609" s="8">
        <v>0</v>
      </c>
      <c r="S609" s="9">
        <f>8%*G609</f>
        <v>416000</v>
      </c>
    </row>
    <row r="610" spans="1:19" x14ac:dyDescent="0.3">
      <c r="A610">
        <v>608</v>
      </c>
      <c r="B610" s="10" t="s">
        <v>1230</v>
      </c>
      <c r="C610" s="10" t="s">
        <v>993</v>
      </c>
      <c r="D610" s="11" t="str">
        <f>VLOOKUP(MID(B610,6,1),'Tabel Acuan'!$A$10:$B$17,2,0)</f>
        <v>Marketing</v>
      </c>
      <c r="E610" t="str">
        <f>VLOOKUP(MID(B610,8,2),'Tabel Acuan'!$A$1:$B$6,2,0)</f>
        <v>Senior Staff</v>
      </c>
      <c r="F610" s="12">
        <v>44813</v>
      </c>
      <c r="G610" s="8" cm="1">
        <f t="array" ref="G610">INDEX('Tabel Acuan'!$F$4:$F$39,
MATCH(1,('Tabel Acuan'!$D$4:$D$39='Data Gaji Pegawai'!D610)*('Tabel Acuan'!$E$4:$E$39='Data Gaji Pegawai'!E610),0))</f>
        <v>6400000</v>
      </c>
      <c r="H610">
        <f>I610/100000</f>
        <v>12</v>
      </c>
      <c r="I610" s="14">
        <v>1200000</v>
      </c>
      <c r="J610">
        <f ca="1">INT((TODAY()-F610)/30.417)</f>
        <v>45</v>
      </c>
      <c r="K610" s="13">
        <f t="shared" ca="1" si="9"/>
        <v>0</v>
      </c>
      <c r="L610" s="8">
        <f>G610*3.7%</f>
        <v>236800.00000000003</v>
      </c>
      <c r="M610" s="8">
        <f>G610*2%</f>
        <v>128000</v>
      </c>
      <c r="N610" s="8">
        <f>G610*4%</f>
        <v>256000</v>
      </c>
      <c r="O610" s="8">
        <f>G610*1%</f>
        <v>64000</v>
      </c>
      <c r="P610">
        <v>10</v>
      </c>
      <c r="Q610" s="13">
        <f>P610*200000</f>
        <v>2000000</v>
      </c>
      <c r="R610" s="8">
        <v>0</v>
      </c>
      <c r="S610" s="9">
        <f>8%*G610</f>
        <v>512000</v>
      </c>
    </row>
    <row r="611" spans="1:19" x14ac:dyDescent="0.3">
      <c r="A611">
        <v>609</v>
      </c>
      <c r="B611" s="10" t="s">
        <v>1231</v>
      </c>
      <c r="C611" s="10" t="s">
        <v>1232</v>
      </c>
      <c r="D611" s="11" t="str">
        <f>VLOOKUP(MID(B611,6,1),'Tabel Acuan'!$A$10:$B$17,2,0)</f>
        <v>Marketing</v>
      </c>
      <c r="E611" t="str">
        <f>VLOOKUP(MID(B611,8,2),'Tabel Acuan'!$A$1:$B$6,2,0)</f>
        <v>Staff</v>
      </c>
      <c r="F611" s="12">
        <v>42142</v>
      </c>
      <c r="G611" s="8" cm="1">
        <f t="array" ref="G611">INDEX('Tabel Acuan'!$F$4:$F$39,
MATCH(1,('Tabel Acuan'!$D$4:$D$39='Data Gaji Pegawai'!D611)*('Tabel Acuan'!$E$4:$E$39='Data Gaji Pegawai'!E611),0))</f>
        <v>5300000</v>
      </c>
      <c r="H611">
        <f>I611/100000</f>
        <v>8</v>
      </c>
      <c r="I611" s="14">
        <v>800000</v>
      </c>
      <c r="J611">
        <f ca="1">INT((TODAY()-F611)/30.417)</f>
        <v>133</v>
      </c>
      <c r="K611" s="13">
        <f t="shared" ca="1" si="9"/>
        <v>0</v>
      </c>
      <c r="L611" s="8">
        <f>G611*3.7%</f>
        <v>196100.00000000003</v>
      </c>
      <c r="M611" s="8">
        <f>G611*2%</f>
        <v>106000</v>
      </c>
      <c r="N611" s="8">
        <f>G611*4%</f>
        <v>212000</v>
      </c>
      <c r="O611" s="8">
        <f>G611*1%</f>
        <v>53000</v>
      </c>
      <c r="P611">
        <v>14</v>
      </c>
      <c r="Q611" s="13">
        <f>P611*200000</f>
        <v>2800000</v>
      </c>
      <c r="R611" s="8">
        <v>750000</v>
      </c>
      <c r="S611" s="9">
        <f>8%*G611</f>
        <v>424000</v>
      </c>
    </row>
    <row r="612" spans="1:19" x14ac:dyDescent="0.3">
      <c r="A612">
        <v>610</v>
      </c>
      <c r="B612" s="10" t="s">
        <v>1233</v>
      </c>
      <c r="C612" s="10" t="s">
        <v>1234</v>
      </c>
      <c r="D612" s="11" t="str">
        <f>VLOOKUP(MID(B612,6,1),'Tabel Acuan'!$A$10:$B$17,2,0)</f>
        <v>Finance</v>
      </c>
      <c r="E612" t="str">
        <f>VLOOKUP(MID(B612,8,2),'Tabel Acuan'!$A$1:$B$6,2,0)</f>
        <v>Staff</v>
      </c>
      <c r="F612" s="12">
        <v>42585</v>
      </c>
      <c r="G612" s="8" cm="1">
        <f t="array" ref="G612">INDEX('Tabel Acuan'!$F$4:$F$39,
MATCH(1,('Tabel Acuan'!$D$4:$D$39='Data Gaji Pegawai'!D612)*('Tabel Acuan'!$E$4:$E$39='Data Gaji Pegawai'!E612),0))</f>
        <v>5500000</v>
      </c>
      <c r="H612">
        <f>I612/100000</f>
        <v>19</v>
      </c>
      <c r="I612" s="14">
        <v>1900000</v>
      </c>
      <c r="J612">
        <f ca="1">INT((TODAY()-F612)/30.417)</f>
        <v>119</v>
      </c>
      <c r="K612" s="13">
        <f t="shared" ca="1" si="9"/>
        <v>0</v>
      </c>
      <c r="L612" s="8">
        <f>G612*3.7%</f>
        <v>203500.00000000003</v>
      </c>
      <c r="M612" s="8">
        <f>G612*2%</f>
        <v>110000</v>
      </c>
      <c r="N612" s="8">
        <f>G612*4%</f>
        <v>220000</v>
      </c>
      <c r="O612" s="8">
        <f>G612*1%</f>
        <v>55000</v>
      </c>
      <c r="P612">
        <v>15</v>
      </c>
      <c r="Q612" s="13">
        <f>P612*200000</f>
        <v>3000000</v>
      </c>
      <c r="R612" s="8">
        <v>2000000</v>
      </c>
      <c r="S612" s="9">
        <f>8%*G612</f>
        <v>440000</v>
      </c>
    </row>
    <row r="613" spans="1:19" x14ac:dyDescent="0.3">
      <c r="A613">
        <v>611</v>
      </c>
      <c r="B613" s="10" t="s">
        <v>1235</v>
      </c>
      <c r="C613" s="10" t="s">
        <v>1236</v>
      </c>
      <c r="D613" s="11" t="str">
        <f>VLOOKUP(MID(B613,6,1),'Tabel Acuan'!$A$10:$B$17,2,0)</f>
        <v>Logistics</v>
      </c>
      <c r="E613" t="str">
        <f>VLOOKUP(MID(B613,8,2),'Tabel Acuan'!$A$1:$B$6,2,0)</f>
        <v>Staff</v>
      </c>
      <c r="F613" s="12">
        <v>42033</v>
      </c>
      <c r="G613" s="8" cm="1">
        <f t="array" ref="G613">INDEX('Tabel Acuan'!$F$4:$F$39,
MATCH(1,('Tabel Acuan'!$D$4:$D$39='Data Gaji Pegawai'!D613)*('Tabel Acuan'!$E$4:$E$39='Data Gaji Pegawai'!E613),0))</f>
        <v>5200000</v>
      </c>
      <c r="H613">
        <f>I613/100000</f>
        <v>17</v>
      </c>
      <c r="I613" s="14">
        <v>1700000</v>
      </c>
      <c r="J613">
        <f ca="1">INT((TODAY()-F613)/30.417)</f>
        <v>137</v>
      </c>
      <c r="K613" s="13">
        <f t="shared" ca="1" si="9"/>
        <v>0</v>
      </c>
      <c r="L613" s="8">
        <f>G613*3.7%</f>
        <v>192400.00000000003</v>
      </c>
      <c r="M613" s="8">
        <f>G613*2%</f>
        <v>104000</v>
      </c>
      <c r="N613" s="8">
        <f>G613*4%</f>
        <v>208000</v>
      </c>
      <c r="O613" s="8">
        <f>G613*1%</f>
        <v>52000</v>
      </c>
      <c r="P613">
        <v>12</v>
      </c>
      <c r="Q613" s="13">
        <f>P613*200000</f>
        <v>2400000</v>
      </c>
      <c r="R613" s="8">
        <v>0</v>
      </c>
      <c r="S613" s="9">
        <f>8%*G613</f>
        <v>416000</v>
      </c>
    </row>
    <row r="614" spans="1:19" x14ac:dyDescent="0.3">
      <c r="A614">
        <v>612</v>
      </c>
      <c r="B614" s="10" t="s">
        <v>1237</v>
      </c>
      <c r="C614" s="10" t="s">
        <v>1238</v>
      </c>
      <c r="D614" s="11" t="str">
        <f>VLOOKUP(MID(B614,6,1),'Tabel Acuan'!$A$10:$B$17,2,0)</f>
        <v>Finance</v>
      </c>
      <c r="E614" t="str">
        <f>VLOOKUP(MID(B614,8,2),'Tabel Acuan'!$A$1:$B$6,2,0)</f>
        <v>Staff</v>
      </c>
      <c r="F614" s="12">
        <v>44568</v>
      </c>
      <c r="G614" s="8" cm="1">
        <f t="array" ref="G614">INDEX('Tabel Acuan'!$F$4:$F$39,
MATCH(1,('Tabel Acuan'!$D$4:$D$39='Data Gaji Pegawai'!D614)*('Tabel Acuan'!$E$4:$E$39='Data Gaji Pegawai'!E614),0))</f>
        <v>5500000</v>
      </c>
      <c r="H614">
        <f>I614/100000</f>
        <v>7</v>
      </c>
      <c r="I614" s="14">
        <v>700000</v>
      </c>
      <c r="J614">
        <f ca="1">INT((TODAY()-F614)/30.417)</f>
        <v>53</v>
      </c>
      <c r="K614" s="13">
        <f t="shared" ca="1" si="9"/>
        <v>0</v>
      </c>
      <c r="L614" s="8">
        <f>G614*3.7%</f>
        <v>203500.00000000003</v>
      </c>
      <c r="M614" s="8">
        <f>G614*2%</f>
        <v>110000</v>
      </c>
      <c r="N614" s="8">
        <f>G614*4%</f>
        <v>220000</v>
      </c>
      <c r="O614" s="8">
        <f>G614*1%</f>
        <v>55000</v>
      </c>
      <c r="P614">
        <v>7</v>
      </c>
      <c r="Q614" s="13">
        <f>P614*200000</f>
        <v>1400000</v>
      </c>
      <c r="R614" s="8">
        <v>2000000</v>
      </c>
      <c r="S614" s="9">
        <f>8%*G614</f>
        <v>440000</v>
      </c>
    </row>
    <row r="615" spans="1:19" x14ac:dyDescent="0.3">
      <c r="A615">
        <v>613</v>
      </c>
      <c r="B615" s="10" t="s">
        <v>1239</v>
      </c>
      <c r="C615" s="10" t="s">
        <v>1240</v>
      </c>
      <c r="D615" s="11" t="str">
        <f>VLOOKUP(MID(B615,6,1),'Tabel Acuan'!$A$10:$B$17,2,0)</f>
        <v>Sales</v>
      </c>
      <c r="E615" t="str">
        <f>VLOOKUP(MID(B615,8,2),'Tabel Acuan'!$A$1:$B$6,2,0)</f>
        <v>Manager</v>
      </c>
      <c r="F615" s="12">
        <v>43149</v>
      </c>
      <c r="G615" s="8" cm="1">
        <f t="array" ref="G615">INDEX('Tabel Acuan'!$F$4:$F$39,
MATCH(1,('Tabel Acuan'!$D$4:$D$39='Data Gaji Pegawai'!D615)*('Tabel Acuan'!$E$4:$E$39='Data Gaji Pegawai'!E615),0))</f>
        <v>13000000</v>
      </c>
      <c r="H615">
        <f>I615/100000</f>
        <v>33</v>
      </c>
      <c r="I615" s="14">
        <v>3300000</v>
      </c>
      <c r="J615">
        <f ca="1">INT((TODAY()-F615)/30.417)</f>
        <v>100</v>
      </c>
      <c r="K615" s="13">
        <f t="shared" ca="1" si="9"/>
        <v>0</v>
      </c>
      <c r="L615" s="8">
        <f>G615*3.7%</f>
        <v>481000.00000000006</v>
      </c>
      <c r="M615" s="8">
        <f>G615*2%</f>
        <v>260000</v>
      </c>
      <c r="N615" s="8">
        <f>G615*4%</f>
        <v>520000</v>
      </c>
      <c r="O615" s="8">
        <f>G615*1%</f>
        <v>130000</v>
      </c>
      <c r="P615">
        <v>6</v>
      </c>
      <c r="Q615" s="13">
        <f>P615*200000</f>
        <v>1200000</v>
      </c>
      <c r="R615" s="8">
        <v>3500000</v>
      </c>
      <c r="S615" s="9">
        <f>8%*G615</f>
        <v>1040000</v>
      </c>
    </row>
    <row r="616" spans="1:19" x14ac:dyDescent="0.3">
      <c r="A616">
        <v>614</v>
      </c>
      <c r="B616" s="10" t="s">
        <v>1241</v>
      </c>
      <c r="C616" s="10" t="s">
        <v>1242</v>
      </c>
      <c r="D616" s="11" t="str">
        <f>VLOOKUP(MID(B616,6,1),'Tabel Acuan'!$A$10:$B$17,2,0)</f>
        <v>Logistics</v>
      </c>
      <c r="E616" t="str">
        <f>VLOOKUP(MID(B616,8,2),'Tabel Acuan'!$A$1:$B$6,2,0)</f>
        <v>Staff</v>
      </c>
      <c r="F616" s="12">
        <v>43747</v>
      </c>
      <c r="G616" s="8" cm="1">
        <f t="array" ref="G616">INDEX('Tabel Acuan'!$F$4:$F$39,
MATCH(1,('Tabel Acuan'!$D$4:$D$39='Data Gaji Pegawai'!D616)*('Tabel Acuan'!$E$4:$E$39='Data Gaji Pegawai'!E616),0))</f>
        <v>5200000</v>
      </c>
      <c r="H616">
        <f>I616/100000</f>
        <v>33</v>
      </c>
      <c r="I616" s="14">
        <v>3300000</v>
      </c>
      <c r="J616">
        <f ca="1">INT((TODAY()-F616)/30.417)</f>
        <v>80</v>
      </c>
      <c r="K616" s="13">
        <f t="shared" ca="1" si="9"/>
        <v>0</v>
      </c>
      <c r="L616" s="8">
        <f>G616*3.7%</f>
        <v>192400.00000000003</v>
      </c>
      <c r="M616" s="8">
        <f>G616*2%</f>
        <v>104000</v>
      </c>
      <c r="N616" s="8">
        <f>G616*4%</f>
        <v>208000</v>
      </c>
      <c r="O616" s="8">
        <f>G616*1%</f>
        <v>52000</v>
      </c>
      <c r="P616">
        <v>3</v>
      </c>
      <c r="Q616" s="13">
        <f>P616*200000</f>
        <v>600000</v>
      </c>
      <c r="R616" s="8">
        <v>0</v>
      </c>
      <c r="S616" s="9">
        <f>8%*G616</f>
        <v>416000</v>
      </c>
    </row>
    <row r="617" spans="1:19" x14ac:dyDescent="0.3">
      <c r="A617">
        <v>615</v>
      </c>
      <c r="B617" s="10" t="s">
        <v>1243</v>
      </c>
      <c r="C617" s="10" t="s">
        <v>1244</v>
      </c>
      <c r="D617" s="11" t="str">
        <f>VLOOKUP(MID(B617,6,1),'Tabel Acuan'!$A$10:$B$17,2,0)</f>
        <v>Logistics</v>
      </c>
      <c r="E617" t="str">
        <f>VLOOKUP(MID(B617,8,2),'Tabel Acuan'!$A$1:$B$6,2,0)</f>
        <v>Staff</v>
      </c>
      <c r="F617" s="12">
        <v>45769</v>
      </c>
      <c r="G617" s="8" cm="1">
        <f t="array" ref="G617">INDEX('Tabel Acuan'!$F$4:$F$39,
MATCH(1,('Tabel Acuan'!$D$4:$D$39='Data Gaji Pegawai'!D617)*('Tabel Acuan'!$E$4:$E$39='Data Gaji Pegawai'!E617),0))</f>
        <v>5200000</v>
      </c>
      <c r="H617">
        <f>I617/100000</f>
        <v>7</v>
      </c>
      <c r="I617" s="14">
        <v>700000</v>
      </c>
      <c r="J617">
        <f ca="1">INT((TODAY()-F617)/30.417)</f>
        <v>14</v>
      </c>
      <c r="K617" s="13">
        <f t="shared" ca="1" si="9"/>
        <v>0</v>
      </c>
      <c r="L617" s="8">
        <f>G617*3.7%</f>
        <v>192400.00000000003</v>
      </c>
      <c r="M617" s="8">
        <f>G617*2%</f>
        <v>104000</v>
      </c>
      <c r="N617" s="8">
        <f>G617*4%</f>
        <v>208000</v>
      </c>
      <c r="O617" s="8">
        <f>G617*1%</f>
        <v>52000</v>
      </c>
      <c r="P617">
        <v>7</v>
      </c>
      <c r="Q617" s="13">
        <f>P617*200000</f>
        <v>1400000</v>
      </c>
      <c r="R617" s="8">
        <v>1250000</v>
      </c>
      <c r="S617" s="9">
        <f>8%*G617</f>
        <v>416000</v>
      </c>
    </row>
    <row r="618" spans="1:19" x14ac:dyDescent="0.3">
      <c r="A618">
        <v>616</v>
      </c>
      <c r="B618" s="10" t="s">
        <v>1245</v>
      </c>
      <c r="C618" s="10" t="s">
        <v>1246</v>
      </c>
      <c r="D618" s="11" t="str">
        <f>VLOOKUP(MID(B618,6,1),'Tabel Acuan'!$A$10:$B$17,2,0)</f>
        <v>Finance</v>
      </c>
      <c r="E618" t="str">
        <f>VLOOKUP(MID(B618,8,2),'Tabel Acuan'!$A$1:$B$6,2,0)</f>
        <v>Supervisor</v>
      </c>
      <c r="F618" s="12">
        <v>42207</v>
      </c>
      <c r="G618" s="8" cm="1">
        <f t="array" ref="G618">INDEX('Tabel Acuan'!$F$4:$F$39,
MATCH(1,('Tabel Acuan'!$D$4:$D$39='Data Gaji Pegawai'!D618)*('Tabel Acuan'!$E$4:$E$39='Data Gaji Pegawai'!E618),0))</f>
        <v>8000000</v>
      </c>
      <c r="H618">
        <f>I618/100000</f>
        <v>50</v>
      </c>
      <c r="I618" s="14">
        <v>5000000</v>
      </c>
      <c r="J618">
        <f ca="1">INT((TODAY()-F618)/30.417)</f>
        <v>131</v>
      </c>
      <c r="K618" s="13">
        <f t="shared" ca="1" si="9"/>
        <v>0</v>
      </c>
      <c r="L618" s="8">
        <f>G618*3.7%</f>
        <v>296000.00000000006</v>
      </c>
      <c r="M618" s="8">
        <f>G618*2%</f>
        <v>160000</v>
      </c>
      <c r="N618" s="8">
        <f>G618*4%</f>
        <v>320000</v>
      </c>
      <c r="O618" s="8">
        <f>G618*1%</f>
        <v>80000</v>
      </c>
      <c r="P618">
        <v>7</v>
      </c>
      <c r="Q618" s="13">
        <f>P618*200000</f>
        <v>1400000</v>
      </c>
      <c r="R618" s="8">
        <v>0</v>
      </c>
      <c r="S618" s="9">
        <f>8%*G618</f>
        <v>640000</v>
      </c>
    </row>
    <row r="619" spans="1:19" x14ac:dyDescent="0.3">
      <c r="A619">
        <v>617</v>
      </c>
      <c r="B619" s="10" t="s">
        <v>1247</v>
      </c>
      <c r="C619" s="10" t="s">
        <v>1248</v>
      </c>
      <c r="D619" s="11" t="str">
        <f>VLOOKUP(MID(B619,6,1),'Tabel Acuan'!$A$10:$B$17,2,0)</f>
        <v>Marketing</v>
      </c>
      <c r="E619" t="str">
        <f>VLOOKUP(MID(B619,8,2),'Tabel Acuan'!$A$1:$B$6,2,0)</f>
        <v>Supervisor</v>
      </c>
      <c r="F619" s="12">
        <v>42310</v>
      </c>
      <c r="G619" s="8" cm="1">
        <f t="array" ref="G619">INDEX('Tabel Acuan'!$F$4:$F$39,
MATCH(1,('Tabel Acuan'!$D$4:$D$39='Data Gaji Pegawai'!D619)*('Tabel Acuan'!$E$4:$E$39='Data Gaji Pegawai'!E619),0))</f>
        <v>7800000</v>
      </c>
      <c r="H619">
        <f>I619/100000</f>
        <v>9</v>
      </c>
      <c r="I619" s="14">
        <v>900000</v>
      </c>
      <c r="J619">
        <f ca="1">INT((TODAY()-F619)/30.417)</f>
        <v>128</v>
      </c>
      <c r="K619" s="13">
        <f t="shared" ca="1" si="9"/>
        <v>0</v>
      </c>
      <c r="L619" s="8">
        <f>G619*3.7%</f>
        <v>288600.00000000006</v>
      </c>
      <c r="M619" s="8">
        <f>G619*2%</f>
        <v>156000</v>
      </c>
      <c r="N619" s="8">
        <f>G619*4%</f>
        <v>312000</v>
      </c>
      <c r="O619" s="8">
        <f>G619*1%</f>
        <v>78000</v>
      </c>
      <c r="P619">
        <v>11</v>
      </c>
      <c r="Q619" s="13">
        <f>P619*200000</f>
        <v>2200000</v>
      </c>
      <c r="R619" s="8">
        <v>750000</v>
      </c>
      <c r="S619" s="9">
        <f>8%*G619</f>
        <v>624000</v>
      </c>
    </row>
    <row r="620" spans="1:19" x14ac:dyDescent="0.3">
      <c r="A620">
        <v>618</v>
      </c>
      <c r="B620" s="10" t="s">
        <v>1249</v>
      </c>
      <c r="C620" s="10" t="s">
        <v>1250</v>
      </c>
      <c r="D620" s="11" t="str">
        <f>VLOOKUP(MID(B620,6,1),'Tabel Acuan'!$A$10:$B$17,2,0)</f>
        <v>Information Technology (IT)</v>
      </c>
      <c r="E620" t="str">
        <f>VLOOKUP(MID(B620,8,2),'Tabel Acuan'!$A$1:$B$6,2,0)</f>
        <v>Staff</v>
      </c>
      <c r="F620" s="12">
        <v>43056</v>
      </c>
      <c r="G620" s="8" cm="1">
        <f t="array" ref="G620">INDEX('Tabel Acuan'!$F$4:$F$39,
MATCH(1,('Tabel Acuan'!$D$4:$D$39='Data Gaji Pegawai'!D620)*('Tabel Acuan'!$E$4:$E$39='Data Gaji Pegawai'!E620),0))</f>
        <v>6000000</v>
      </c>
      <c r="H620">
        <f>I620/100000</f>
        <v>3</v>
      </c>
      <c r="I620" s="14">
        <v>300000</v>
      </c>
      <c r="J620">
        <f ca="1">INT((TODAY()-F620)/30.417)</f>
        <v>103</v>
      </c>
      <c r="K620" s="13">
        <f t="shared" ca="1" si="9"/>
        <v>0</v>
      </c>
      <c r="L620" s="8">
        <f>G620*3.7%</f>
        <v>222000.00000000003</v>
      </c>
      <c r="M620" s="8">
        <f>G620*2%</f>
        <v>120000</v>
      </c>
      <c r="N620" s="8">
        <f>G620*4%</f>
        <v>240000</v>
      </c>
      <c r="O620" s="8">
        <f>G620*1%</f>
        <v>60000</v>
      </c>
      <c r="P620">
        <v>1</v>
      </c>
      <c r="Q620" s="13">
        <f>P620*200000</f>
        <v>200000</v>
      </c>
      <c r="R620" s="8">
        <v>500000</v>
      </c>
      <c r="S620" s="9">
        <f>8%*G620</f>
        <v>480000</v>
      </c>
    </row>
    <row r="621" spans="1:19" x14ac:dyDescent="0.3">
      <c r="A621">
        <v>619</v>
      </c>
      <c r="B621" s="10" t="s">
        <v>1251</v>
      </c>
      <c r="C621" s="10" t="s">
        <v>1252</v>
      </c>
      <c r="D621" s="11" t="str">
        <f>VLOOKUP(MID(B621,6,1),'Tabel Acuan'!$A$10:$B$17,2,0)</f>
        <v>Operations</v>
      </c>
      <c r="E621" t="str">
        <f>VLOOKUP(MID(B621,8,2),'Tabel Acuan'!$A$1:$B$6,2,0)</f>
        <v>Staff</v>
      </c>
      <c r="F621" s="12">
        <v>45089</v>
      </c>
      <c r="G621" s="8" cm="1">
        <f t="array" ref="G621">INDEX('Tabel Acuan'!$F$4:$F$39,
MATCH(1,('Tabel Acuan'!$D$4:$D$39='Data Gaji Pegawai'!D621)*('Tabel Acuan'!$E$4:$E$39='Data Gaji Pegawai'!E621),0))</f>
        <v>5200000</v>
      </c>
      <c r="H621">
        <f>I621/100000</f>
        <v>35</v>
      </c>
      <c r="I621" s="14">
        <v>3500000</v>
      </c>
      <c r="J621">
        <f ca="1">INT((TODAY()-F621)/30.417)</f>
        <v>36</v>
      </c>
      <c r="K621" s="13">
        <f t="shared" ca="1" si="9"/>
        <v>0</v>
      </c>
      <c r="L621" s="8">
        <f>G621*3.7%</f>
        <v>192400.00000000003</v>
      </c>
      <c r="M621" s="8">
        <f>G621*2%</f>
        <v>104000</v>
      </c>
      <c r="N621" s="8">
        <f>G621*4%</f>
        <v>208000</v>
      </c>
      <c r="O621" s="8">
        <f>G621*1%</f>
        <v>52000</v>
      </c>
      <c r="P621">
        <v>11</v>
      </c>
      <c r="Q621" s="13">
        <f>P621*200000</f>
        <v>2200000</v>
      </c>
      <c r="R621" s="8">
        <v>2000000</v>
      </c>
      <c r="S621" s="9">
        <f>8%*G621</f>
        <v>416000</v>
      </c>
    </row>
    <row r="622" spans="1:19" x14ac:dyDescent="0.3">
      <c r="A622">
        <v>620</v>
      </c>
      <c r="B622" s="10" t="s">
        <v>1253</v>
      </c>
      <c r="C622" s="10" t="s">
        <v>1254</v>
      </c>
      <c r="D622" s="11" t="str">
        <f>VLOOKUP(MID(B622,6,1),'Tabel Acuan'!$A$10:$B$17,2,0)</f>
        <v>Human Resources (HR)</v>
      </c>
      <c r="E622" t="str">
        <f>VLOOKUP(MID(B622,8,2),'Tabel Acuan'!$A$1:$B$6,2,0)</f>
        <v>Supervisor</v>
      </c>
      <c r="F622" s="12">
        <v>43169</v>
      </c>
      <c r="G622" s="8" cm="1">
        <f t="array" ref="G622">INDEX('Tabel Acuan'!$F$4:$F$39,
MATCH(1,('Tabel Acuan'!$D$4:$D$39='Data Gaji Pegawai'!D622)*('Tabel Acuan'!$E$4:$E$39='Data Gaji Pegawai'!E622),0))</f>
        <v>7250000</v>
      </c>
      <c r="H622">
        <f>I622/100000</f>
        <v>16</v>
      </c>
      <c r="I622" s="14">
        <v>1600000</v>
      </c>
      <c r="J622">
        <f ca="1">INT((TODAY()-F622)/30.417)</f>
        <v>99</v>
      </c>
      <c r="K622" s="13">
        <f t="shared" ca="1" si="9"/>
        <v>0</v>
      </c>
      <c r="L622" s="8">
        <f>G622*3.7%</f>
        <v>268250.00000000006</v>
      </c>
      <c r="M622" s="8">
        <f>G622*2%</f>
        <v>145000</v>
      </c>
      <c r="N622" s="8">
        <f>G622*4%</f>
        <v>290000</v>
      </c>
      <c r="O622" s="8">
        <f>G622*1%</f>
        <v>72500</v>
      </c>
      <c r="P622">
        <v>1</v>
      </c>
      <c r="Q622" s="13">
        <f>P622*200000</f>
        <v>200000</v>
      </c>
      <c r="R622" s="8">
        <v>2000000</v>
      </c>
      <c r="S622" s="9">
        <f>8%*G622</f>
        <v>580000</v>
      </c>
    </row>
    <row r="623" spans="1:19" x14ac:dyDescent="0.3">
      <c r="A623">
        <v>621</v>
      </c>
      <c r="B623" s="10" t="s">
        <v>1255</v>
      </c>
      <c r="C623" s="10" t="s">
        <v>1256</v>
      </c>
      <c r="D623" s="11" t="str">
        <f>VLOOKUP(MID(B623,6,1),'Tabel Acuan'!$A$10:$B$17,2,0)</f>
        <v>Logistics</v>
      </c>
      <c r="E623" t="str">
        <f>VLOOKUP(MID(B623,8,2),'Tabel Acuan'!$A$1:$B$6,2,0)</f>
        <v>Senior Staff</v>
      </c>
      <c r="F623" s="12">
        <v>45217</v>
      </c>
      <c r="G623" s="8" cm="1">
        <f t="array" ref="G623">INDEX('Tabel Acuan'!$F$4:$F$39,
MATCH(1,('Tabel Acuan'!$D$4:$D$39='Data Gaji Pegawai'!D623)*('Tabel Acuan'!$E$4:$E$39='Data Gaji Pegawai'!E623),0))</f>
        <v>6250000</v>
      </c>
      <c r="H623">
        <f>I623/100000</f>
        <v>11</v>
      </c>
      <c r="I623" s="14">
        <v>1100000</v>
      </c>
      <c r="J623">
        <f ca="1">INT((TODAY()-F623)/30.417)</f>
        <v>32</v>
      </c>
      <c r="K623" s="13">
        <f t="shared" ca="1" si="9"/>
        <v>0</v>
      </c>
      <c r="L623" s="8">
        <f>G623*3.7%</f>
        <v>231250.00000000003</v>
      </c>
      <c r="M623" s="8">
        <f>G623*2%</f>
        <v>125000</v>
      </c>
      <c r="N623" s="8">
        <f>G623*4%</f>
        <v>250000</v>
      </c>
      <c r="O623" s="8">
        <f>G623*1%</f>
        <v>62500</v>
      </c>
      <c r="P623">
        <v>11</v>
      </c>
      <c r="Q623" s="13">
        <f>P623*200000</f>
        <v>2200000</v>
      </c>
      <c r="R623" s="8">
        <v>0</v>
      </c>
      <c r="S623" s="9">
        <f>8%*G623</f>
        <v>500000</v>
      </c>
    </row>
    <row r="624" spans="1:19" x14ac:dyDescent="0.3">
      <c r="A624">
        <v>622</v>
      </c>
      <c r="B624" s="10" t="s">
        <v>1257</v>
      </c>
      <c r="C624" s="10" t="s">
        <v>1258</v>
      </c>
      <c r="D624" s="11" t="str">
        <f>VLOOKUP(MID(B624,6,1),'Tabel Acuan'!$A$10:$B$17,2,0)</f>
        <v>Logistics</v>
      </c>
      <c r="E624" t="str">
        <f>VLOOKUP(MID(B624,8,2),'Tabel Acuan'!$A$1:$B$6,2,0)</f>
        <v>Assistant Manager</v>
      </c>
      <c r="F624" s="12">
        <v>44644</v>
      </c>
      <c r="G624" s="8" cm="1">
        <f t="array" ref="G624">INDEX('Tabel Acuan'!$F$4:$F$39,
MATCH(1,('Tabel Acuan'!$D$4:$D$39='Data Gaji Pegawai'!D624)*('Tabel Acuan'!$E$4:$E$39='Data Gaji Pegawai'!E624),0))</f>
        <v>9300000</v>
      </c>
      <c r="H624">
        <f>I624/100000</f>
        <v>4</v>
      </c>
      <c r="I624" s="14">
        <v>400000</v>
      </c>
      <c r="J624">
        <f ca="1">INT((TODAY()-F624)/30.417)</f>
        <v>51</v>
      </c>
      <c r="K624" s="13">
        <f t="shared" ca="1" si="9"/>
        <v>0</v>
      </c>
      <c r="L624" s="8">
        <f>G624*3.7%</f>
        <v>344100.00000000006</v>
      </c>
      <c r="M624" s="8">
        <f>G624*2%</f>
        <v>186000</v>
      </c>
      <c r="N624" s="8">
        <f>G624*4%</f>
        <v>372000</v>
      </c>
      <c r="O624" s="8">
        <f>G624*1%</f>
        <v>93000</v>
      </c>
      <c r="P624">
        <v>4</v>
      </c>
      <c r="Q624" s="13">
        <f>P624*200000</f>
        <v>800000</v>
      </c>
      <c r="R624" s="8">
        <v>1000000</v>
      </c>
      <c r="S624" s="9">
        <f>8%*G624</f>
        <v>744000</v>
      </c>
    </row>
    <row r="625" spans="1:19" x14ac:dyDescent="0.3">
      <c r="A625">
        <v>623</v>
      </c>
      <c r="B625" s="10" t="s">
        <v>1259</v>
      </c>
      <c r="C625" s="10" t="s">
        <v>1260</v>
      </c>
      <c r="D625" s="11" t="str">
        <f>VLOOKUP(MID(B625,6,1),'Tabel Acuan'!$A$10:$B$17,2,0)</f>
        <v>Logistics</v>
      </c>
      <c r="E625" t="str">
        <f>VLOOKUP(MID(B625,8,2),'Tabel Acuan'!$A$1:$B$6,2,0)</f>
        <v>Senior Staff</v>
      </c>
      <c r="F625" s="12">
        <v>45186</v>
      </c>
      <c r="G625" s="8" cm="1">
        <f t="array" ref="G625">INDEX('Tabel Acuan'!$F$4:$F$39,
MATCH(1,('Tabel Acuan'!$D$4:$D$39='Data Gaji Pegawai'!D625)*('Tabel Acuan'!$E$4:$E$39='Data Gaji Pegawai'!E625),0))</f>
        <v>6250000</v>
      </c>
      <c r="H625">
        <f>I625/100000</f>
        <v>24</v>
      </c>
      <c r="I625" s="14">
        <v>2400000</v>
      </c>
      <c r="J625">
        <f ca="1">INT((TODAY()-F625)/30.417)</f>
        <v>33</v>
      </c>
      <c r="K625" s="13">
        <f t="shared" ca="1" si="9"/>
        <v>0</v>
      </c>
      <c r="L625" s="8">
        <f>G625*3.7%</f>
        <v>231250.00000000003</v>
      </c>
      <c r="M625" s="8">
        <f>G625*2%</f>
        <v>125000</v>
      </c>
      <c r="N625" s="8">
        <f>G625*4%</f>
        <v>250000</v>
      </c>
      <c r="O625" s="8">
        <f>G625*1%</f>
        <v>62500</v>
      </c>
      <c r="P625">
        <v>5</v>
      </c>
      <c r="Q625" s="13">
        <f>P625*200000</f>
        <v>1000000</v>
      </c>
      <c r="R625" s="8">
        <v>3000000</v>
      </c>
      <c r="S625" s="9">
        <f>8%*G625</f>
        <v>500000</v>
      </c>
    </row>
    <row r="626" spans="1:19" x14ac:dyDescent="0.3">
      <c r="A626">
        <v>624</v>
      </c>
      <c r="B626" s="10" t="s">
        <v>1261</v>
      </c>
      <c r="C626" s="10" t="s">
        <v>1262</v>
      </c>
      <c r="D626" s="11" t="str">
        <f>VLOOKUP(MID(B626,6,1),'Tabel Acuan'!$A$10:$B$17,2,0)</f>
        <v>Operations</v>
      </c>
      <c r="E626" t="str">
        <f>VLOOKUP(MID(B626,8,2),'Tabel Acuan'!$A$1:$B$6,2,0)</f>
        <v>Senior Staff</v>
      </c>
      <c r="F626" s="12">
        <v>43863</v>
      </c>
      <c r="G626" s="8" cm="1">
        <f t="array" ref="G626">INDEX('Tabel Acuan'!$F$4:$F$39,
MATCH(1,('Tabel Acuan'!$D$4:$D$39='Data Gaji Pegawai'!D626)*('Tabel Acuan'!$E$4:$E$39='Data Gaji Pegawai'!E626),0))</f>
        <v>6300000</v>
      </c>
      <c r="H626">
        <f>I626/100000</f>
        <v>42</v>
      </c>
      <c r="I626" s="14">
        <v>4200000</v>
      </c>
      <c r="J626">
        <f ca="1">INT((TODAY()-F626)/30.417)</f>
        <v>76</v>
      </c>
      <c r="K626" s="13">
        <f t="shared" ca="1" si="9"/>
        <v>0</v>
      </c>
      <c r="L626" s="8">
        <f>G626*3.7%</f>
        <v>233100.00000000003</v>
      </c>
      <c r="M626" s="8">
        <f>G626*2%</f>
        <v>126000</v>
      </c>
      <c r="N626" s="8">
        <f>G626*4%</f>
        <v>252000</v>
      </c>
      <c r="O626" s="8">
        <f>G626*1%</f>
        <v>63000</v>
      </c>
      <c r="P626">
        <v>12</v>
      </c>
      <c r="Q626" s="13">
        <f>P626*200000</f>
        <v>2400000</v>
      </c>
      <c r="R626" s="8">
        <v>0</v>
      </c>
      <c r="S626" s="9">
        <f>8%*G626</f>
        <v>504000</v>
      </c>
    </row>
    <row r="627" spans="1:19" x14ac:dyDescent="0.3">
      <c r="A627">
        <v>625</v>
      </c>
      <c r="B627" s="10" t="s">
        <v>1263</v>
      </c>
      <c r="C627" s="10" t="s">
        <v>1264</v>
      </c>
      <c r="D627" s="11" t="str">
        <f>VLOOKUP(MID(B627,6,1),'Tabel Acuan'!$A$10:$B$17,2,0)</f>
        <v>Information Technology (IT)</v>
      </c>
      <c r="E627" t="str">
        <f>VLOOKUP(MID(B627,8,2),'Tabel Acuan'!$A$1:$B$6,2,0)</f>
        <v>Supervisor</v>
      </c>
      <c r="F627" s="12">
        <v>45802</v>
      </c>
      <c r="G627" s="8" cm="1">
        <f t="array" ref="G627">INDEX('Tabel Acuan'!$F$4:$F$39,
MATCH(1,('Tabel Acuan'!$D$4:$D$39='Data Gaji Pegawai'!D627)*('Tabel Acuan'!$E$4:$E$39='Data Gaji Pegawai'!E627),0))</f>
        <v>9000000</v>
      </c>
      <c r="H627">
        <f>I627/100000</f>
        <v>20</v>
      </c>
      <c r="I627" s="14">
        <v>2000000</v>
      </c>
      <c r="J627">
        <f ca="1">INT((TODAY()-F627)/30.417)</f>
        <v>13</v>
      </c>
      <c r="K627" s="13">
        <f t="shared" ca="1" si="9"/>
        <v>0</v>
      </c>
      <c r="L627" s="8">
        <f>G627*3.7%</f>
        <v>333000.00000000006</v>
      </c>
      <c r="M627" s="8">
        <f>G627*2%</f>
        <v>180000</v>
      </c>
      <c r="N627" s="8">
        <f>G627*4%</f>
        <v>360000</v>
      </c>
      <c r="O627" s="8">
        <f>G627*1%</f>
        <v>90000</v>
      </c>
      <c r="P627">
        <v>13</v>
      </c>
      <c r="Q627" s="13">
        <f>P627*200000</f>
        <v>2600000</v>
      </c>
      <c r="R627" s="8">
        <v>300000</v>
      </c>
      <c r="S627" s="9">
        <f>8%*G627</f>
        <v>720000</v>
      </c>
    </row>
    <row r="628" spans="1:19" x14ac:dyDescent="0.3">
      <c r="A628">
        <v>626</v>
      </c>
      <c r="B628" s="10" t="s">
        <v>1265</v>
      </c>
      <c r="C628" s="10" t="s">
        <v>1266</v>
      </c>
      <c r="D628" s="11" t="str">
        <f>VLOOKUP(MID(B628,6,1),'Tabel Acuan'!$A$10:$B$17,2,0)</f>
        <v>Marketing</v>
      </c>
      <c r="E628" t="str">
        <f>VLOOKUP(MID(B628,8,2),'Tabel Acuan'!$A$1:$B$6,2,0)</f>
        <v>Senior Staff</v>
      </c>
      <c r="F628" s="12">
        <v>42461</v>
      </c>
      <c r="G628" s="8" cm="1">
        <f t="array" ref="G628">INDEX('Tabel Acuan'!$F$4:$F$39,
MATCH(1,('Tabel Acuan'!$D$4:$D$39='Data Gaji Pegawai'!D628)*('Tabel Acuan'!$E$4:$E$39='Data Gaji Pegawai'!E628),0))</f>
        <v>6400000</v>
      </c>
      <c r="H628">
        <f>I628/100000</f>
        <v>55</v>
      </c>
      <c r="I628" s="14">
        <v>5500000</v>
      </c>
      <c r="J628">
        <f ca="1">INT((TODAY()-F628)/30.417)</f>
        <v>123</v>
      </c>
      <c r="K628" s="13">
        <f t="shared" ca="1" si="9"/>
        <v>0</v>
      </c>
      <c r="L628" s="8">
        <f>G628*3.7%</f>
        <v>236800.00000000003</v>
      </c>
      <c r="M628" s="8">
        <f>G628*2%</f>
        <v>128000</v>
      </c>
      <c r="N628" s="8">
        <f>G628*4%</f>
        <v>256000</v>
      </c>
      <c r="O628" s="8">
        <f>G628*1%</f>
        <v>64000</v>
      </c>
      <c r="P628">
        <v>1</v>
      </c>
      <c r="Q628" s="13">
        <f>P628*200000</f>
        <v>200000</v>
      </c>
      <c r="R628" s="8">
        <v>0</v>
      </c>
      <c r="S628" s="9">
        <f>8%*G628</f>
        <v>512000</v>
      </c>
    </row>
    <row r="629" spans="1:19" x14ac:dyDescent="0.3">
      <c r="A629">
        <v>627</v>
      </c>
      <c r="B629" s="10" t="s">
        <v>1267</v>
      </c>
      <c r="C629" s="10" t="s">
        <v>1268</v>
      </c>
      <c r="D629" s="11" t="str">
        <f>VLOOKUP(MID(B629,6,1),'Tabel Acuan'!$A$10:$B$17,2,0)</f>
        <v>Finance</v>
      </c>
      <c r="E629" t="str">
        <f>VLOOKUP(MID(B629,8,2),'Tabel Acuan'!$A$1:$B$6,2,0)</f>
        <v>Staff</v>
      </c>
      <c r="F629" s="12">
        <v>44760</v>
      </c>
      <c r="G629" s="8" cm="1">
        <f t="array" ref="G629">INDEX('Tabel Acuan'!$F$4:$F$39,
MATCH(1,('Tabel Acuan'!$D$4:$D$39='Data Gaji Pegawai'!D629)*('Tabel Acuan'!$E$4:$E$39='Data Gaji Pegawai'!E629),0))</f>
        <v>5500000</v>
      </c>
      <c r="H629">
        <f>I629/100000</f>
        <v>42</v>
      </c>
      <c r="I629" s="14">
        <v>4200000</v>
      </c>
      <c r="J629">
        <f ca="1">INT((TODAY()-F629)/30.417)</f>
        <v>47</v>
      </c>
      <c r="K629" s="13">
        <f t="shared" ca="1" si="9"/>
        <v>0</v>
      </c>
      <c r="L629" s="8">
        <f>G629*3.7%</f>
        <v>203500.00000000003</v>
      </c>
      <c r="M629" s="8">
        <f>G629*2%</f>
        <v>110000</v>
      </c>
      <c r="N629" s="8">
        <f>G629*4%</f>
        <v>220000</v>
      </c>
      <c r="O629" s="8">
        <f>G629*1%</f>
        <v>55000</v>
      </c>
      <c r="P629">
        <v>15</v>
      </c>
      <c r="Q629" s="13">
        <f>P629*200000</f>
        <v>3000000</v>
      </c>
      <c r="R629" s="8">
        <v>4000000</v>
      </c>
      <c r="S629" s="9">
        <f>8%*G629</f>
        <v>440000</v>
      </c>
    </row>
    <row r="630" spans="1:19" x14ac:dyDescent="0.3">
      <c r="A630">
        <v>628</v>
      </c>
      <c r="B630" s="10" t="s">
        <v>1269</v>
      </c>
      <c r="C630" s="10" t="s">
        <v>1270</v>
      </c>
      <c r="D630" s="11" t="str">
        <f>VLOOKUP(MID(B630,6,1),'Tabel Acuan'!$A$10:$B$17,2,0)</f>
        <v>Logistics</v>
      </c>
      <c r="E630" t="str">
        <f>VLOOKUP(MID(B630,8,2),'Tabel Acuan'!$A$1:$B$6,2,0)</f>
        <v>Staff</v>
      </c>
      <c r="F630" s="12">
        <v>45328</v>
      </c>
      <c r="G630" s="8" cm="1">
        <f t="array" ref="G630">INDEX('Tabel Acuan'!$F$4:$F$39,
MATCH(1,('Tabel Acuan'!$D$4:$D$39='Data Gaji Pegawai'!D630)*('Tabel Acuan'!$E$4:$E$39='Data Gaji Pegawai'!E630),0))</f>
        <v>5200000</v>
      </c>
      <c r="H630">
        <f>I630/100000</f>
        <v>0</v>
      </c>
      <c r="I630" s="14">
        <v>0</v>
      </c>
      <c r="J630">
        <f ca="1">INT((TODAY()-F630)/30.417)</f>
        <v>28</v>
      </c>
      <c r="K630" s="13">
        <f t="shared" ca="1" si="9"/>
        <v>0</v>
      </c>
      <c r="L630" s="8">
        <f>G630*3.7%</f>
        <v>192400.00000000003</v>
      </c>
      <c r="M630" s="8">
        <f>G630*2%</f>
        <v>104000</v>
      </c>
      <c r="N630" s="8">
        <f>G630*4%</f>
        <v>208000</v>
      </c>
      <c r="O630" s="8">
        <f>G630*1%</f>
        <v>52000</v>
      </c>
      <c r="P630">
        <v>6</v>
      </c>
      <c r="Q630" s="13">
        <f>P630*200000</f>
        <v>1200000</v>
      </c>
      <c r="R630" s="8">
        <v>300000</v>
      </c>
      <c r="S630" s="9">
        <f>8%*G630</f>
        <v>416000</v>
      </c>
    </row>
    <row r="631" spans="1:19" x14ac:dyDescent="0.3">
      <c r="A631">
        <v>629</v>
      </c>
      <c r="B631" s="10" t="s">
        <v>1271</v>
      </c>
      <c r="C631" s="10" t="s">
        <v>1272</v>
      </c>
      <c r="D631" s="11" t="str">
        <f>VLOOKUP(MID(B631,6,1),'Tabel Acuan'!$A$10:$B$17,2,0)</f>
        <v>Operations</v>
      </c>
      <c r="E631" t="str">
        <f>VLOOKUP(MID(B631,8,2),'Tabel Acuan'!$A$1:$B$6,2,0)</f>
        <v>Senior Staff</v>
      </c>
      <c r="F631" s="12">
        <v>44774</v>
      </c>
      <c r="G631" s="8" cm="1">
        <f t="array" ref="G631">INDEX('Tabel Acuan'!$F$4:$F$39,
MATCH(1,('Tabel Acuan'!$D$4:$D$39='Data Gaji Pegawai'!D631)*('Tabel Acuan'!$E$4:$E$39='Data Gaji Pegawai'!E631),0))</f>
        <v>6300000</v>
      </c>
      <c r="H631">
        <f>I631/100000</f>
        <v>52</v>
      </c>
      <c r="I631" s="14">
        <v>5200000</v>
      </c>
      <c r="J631">
        <f ca="1">INT((TODAY()-F631)/30.417)</f>
        <v>47</v>
      </c>
      <c r="K631" s="13">
        <f t="shared" ca="1" si="9"/>
        <v>0</v>
      </c>
      <c r="L631" s="8">
        <f>G631*3.7%</f>
        <v>233100.00000000003</v>
      </c>
      <c r="M631" s="8">
        <f>G631*2%</f>
        <v>126000</v>
      </c>
      <c r="N631" s="8">
        <f>G631*4%</f>
        <v>252000</v>
      </c>
      <c r="O631" s="8">
        <f>G631*1%</f>
        <v>63000</v>
      </c>
      <c r="P631">
        <v>11</v>
      </c>
      <c r="Q631" s="13">
        <f>P631*200000</f>
        <v>2200000</v>
      </c>
      <c r="R631" s="8">
        <v>250000</v>
      </c>
      <c r="S631" s="9">
        <f>8%*G631</f>
        <v>504000</v>
      </c>
    </row>
    <row r="632" spans="1:19" x14ac:dyDescent="0.3">
      <c r="A632">
        <v>630</v>
      </c>
      <c r="B632" s="10" t="s">
        <v>1273</v>
      </c>
      <c r="C632" s="10" t="s">
        <v>1274</v>
      </c>
      <c r="D632" s="11" t="str">
        <f>VLOOKUP(MID(B632,6,1),'Tabel Acuan'!$A$10:$B$17,2,0)</f>
        <v>Logistics</v>
      </c>
      <c r="E632" t="str">
        <f>VLOOKUP(MID(B632,8,2),'Tabel Acuan'!$A$1:$B$6,2,0)</f>
        <v>Senior Staff</v>
      </c>
      <c r="F632" s="12">
        <v>45447</v>
      </c>
      <c r="G632" s="8" cm="1">
        <f t="array" ref="G632">INDEX('Tabel Acuan'!$F$4:$F$39,
MATCH(1,('Tabel Acuan'!$D$4:$D$39='Data Gaji Pegawai'!D632)*('Tabel Acuan'!$E$4:$E$39='Data Gaji Pegawai'!E632),0))</f>
        <v>6250000</v>
      </c>
      <c r="H632">
        <f>I632/100000</f>
        <v>4</v>
      </c>
      <c r="I632" s="14">
        <v>400000</v>
      </c>
      <c r="J632">
        <f ca="1">INT((TODAY()-F632)/30.417)</f>
        <v>24</v>
      </c>
      <c r="K632" s="13">
        <f t="shared" ca="1" si="9"/>
        <v>0</v>
      </c>
      <c r="L632" s="8">
        <f>G632*3.7%</f>
        <v>231250.00000000003</v>
      </c>
      <c r="M632" s="8">
        <f>G632*2%</f>
        <v>125000</v>
      </c>
      <c r="N632" s="8">
        <f>G632*4%</f>
        <v>250000</v>
      </c>
      <c r="O632" s="8">
        <f>G632*1%</f>
        <v>62500</v>
      </c>
      <c r="P632">
        <v>6</v>
      </c>
      <c r="Q632" s="13">
        <f>P632*200000</f>
        <v>1200000</v>
      </c>
      <c r="R632" s="8">
        <v>300000</v>
      </c>
      <c r="S632" s="9">
        <f>8%*G632</f>
        <v>500000</v>
      </c>
    </row>
    <row r="633" spans="1:19" x14ac:dyDescent="0.3">
      <c r="A633">
        <v>631</v>
      </c>
      <c r="B633" s="10" t="s">
        <v>1275</v>
      </c>
      <c r="C633" s="10" t="s">
        <v>1276</v>
      </c>
      <c r="D633" s="11" t="str">
        <f>VLOOKUP(MID(B633,6,1),'Tabel Acuan'!$A$10:$B$17,2,0)</f>
        <v>Sales</v>
      </c>
      <c r="E633" t="str">
        <f>VLOOKUP(MID(B633,8,2),'Tabel Acuan'!$A$1:$B$6,2,0)</f>
        <v>Staff</v>
      </c>
      <c r="F633" s="12">
        <v>42468</v>
      </c>
      <c r="G633" s="8" cm="1">
        <f t="array" ref="G633">INDEX('Tabel Acuan'!$F$4:$F$39,
MATCH(1,('Tabel Acuan'!$D$4:$D$39='Data Gaji Pegawai'!D633)*('Tabel Acuan'!$E$4:$E$39='Data Gaji Pegawai'!E633),0))</f>
        <v>5000000</v>
      </c>
      <c r="H633">
        <f>I633/100000</f>
        <v>33</v>
      </c>
      <c r="I633" s="14">
        <v>3300000</v>
      </c>
      <c r="J633">
        <f ca="1">INT((TODAY()-F633)/30.417)</f>
        <v>122</v>
      </c>
      <c r="K633" s="13">
        <f t="shared" ca="1" si="9"/>
        <v>0</v>
      </c>
      <c r="L633" s="8">
        <f>G633*3.7%</f>
        <v>185000.00000000003</v>
      </c>
      <c r="M633" s="8">
        <f>G633*2%</f>
        <v>100000</v>
      </c>
      <c r="N633" s="8">
        <f>G633*4%</f>
        <v>200000</v>
      </c>
      <c r="O633" s="8">
        <f>G633*1%</f>
        <v>50000</v>
      </c>
      <c r="P633">
        <v>7</v>
      </c>
      <c r="Q633" s="13">
        <f>P633*200000</f>
        <v>1400000</v>
      </c>
      <c r="R633" s="8">
        <v>500000</v>
      </c>
      <c r="S633" s="9">
        <f>8%*G633</f>
        <v>400000</v>
      </c>
    </row>
    <row r="634" spans="1:19" x14ac:dyDescent="0.3">
      <c r="A634">
        <v>632</v>
      </c>
      <c r="B634" s="10" t="s">
        <v>1277</v>
      </c>
      <c r="C634" s="10" t="s">
        <v>1278</v>
      </c>
      <c r="D634" s="11" t="str">
        <f>VLOOKUP(MID(B634,6,1),'Tabel Acuan'!$A$10:$B$17,2,0)</f>
        <v>Sales</v>
      </c>
      <c r="E634" t="str">
        <f>VLOOKUP(MID(B634,8,2),'Tabel Acuan'!$A$1:$B$6,2,0)</f>
        <v>Senior Staff</v>
      </c>
      <c r="F634" s="12">
        <v>45253</v>
      </c>
      <c r="G634" s="8" cm="1">
        <f t="array" ref="G634">INDEX('Tabel Acuan'!$F$4:$F$39,
MATCH(1,('Tabel Acuan'!$D$4:$D$39='Data Gaji Pegawai'!D634)*('Tabel Acuan'!$E$4:$E$39='Data Gaji Pegawai'!E634),0))</f>
        <v>6000000</v>
      </c>
      <c r="H634">
        <f>I634/100000</f>
        <v>36</v>
      </c>
      <c r="I634" s="14">
        <v>3600000</v>
      </c>
      <c r="J634">
        <f ca="1">INT((TODAY()-F634)/30.417)</f>
        <v>31</v>
      </c>
      <c r="K634" s="13">
        <f t="shared" ca="1" si="9"/>
        <v>0</v>
      </c>
      <c r="L634" s="8">
        <f>G634*3.7%</f>
        <v>222000.00000000003</v>
      </c>
      <c r="M634" s="8">
        <f>G634*2%</f>
        <v>120000</v>
      </c>
      <c r="N634" s="8">
        <f>G634*4%</f>
        <v>240000</v>
      </c>
      <c r="O634" s="8">
        <f>G634*1%</f>
        <v>60000</v>
      </c>
      <c r="P634">
        <v>11</v>
      </c>
      <c r="Q634" s="13">
        <f>P634*200000</f>
        <v>2200000</v>
      </c>
      <c r="R634" s="8">
        <v>4000000</v>
      </c>
      <c r="S634" s="9">
        <f>8%*G634</f>
        <v>480000</v>
      </c>
    </row>
    <row r="635" spans="1:19" x14ac:dyDescent="0.3">
      <c r="A635">
        <v>633</v>
      </c>
      <c r="B635" s="10" t="s">
        <v>1279</v>
      </c>
      <c r="C635" s="10" t="s">
        <v>1280</v>
      </c>
      <c r="D635" s="11" t="str">
        <f>VLOOKUP(MID(B635,6,1),'Tabel Acuan'!$A$10:$B$17,2,0)</f>
        <v>Information Technology (IT)</v>
      </c>
      <c r="E635" t="str">
        <f>VLOOKUP(MID(B635,8,2),'Tabel Acuan'!$A$1:$B$6,2,0)</f>
        <v>Assistant Manager</v>
      </c>
      <c r="F635" s="12">
        <v>45939</v>
      </c>
      <c r="G635" s="8" cm="1">
        <f t="array" ref="G635">INDEX('Tabel Acuan'!$F$4:$F$39,
MATCH(1,('Tabel Acuan'!$D$4:$D$39='Data Gaji Pegawai'!D635)*('Tabel Acuan'!$E$4:$E$39='Data Gaji Pegawai'!E635),0))</f>
        <v>11500000</v>
      </c>
      <c r="H635">
        <f>I635/100000</f>
        <v>25</v>
      </c>
      <c r="I635" s="14">
        <v>2500000</v>
      </c>
      <c r="J635">
        <f ca="1">INT((TODAY()-F635)/30.417)</f>
        <v>8</v>
      </c>
      <c r="K635" s="13">
        <f t="shared" ca="1" si="9"/>
        <v>0</v>
      </c>
      <c r="L635" s="8">
        <f>G635*3.7%</f>
        <v>425500.00000000006</v>
      </c>
      <c r="M635" s="8">
        <f>G635*2%</f>
        <v>230000</v>
      </c>
      <c r="N635" s="8">
        <f>G635*4%</f>
        <v>460000</v>
      </c>
      <c r="O635" s="8">
        <f>G635*1%</f>
        <v>115000</v>
      </c>
      <c r="P635">
        <v>10</v>
      </c>
      <c r="Q635" s="13">
        <f>P635*200000</f>
        <v>2000000</v>
      </c>
      <c r="R635" s="8">
        <v>2500000</v>
      </c>
      <c r="S635" s="9">
        <f>8%*G635</f>
        <v>920000</v>
      </c>
    </row>
    <row r="636" spans="1:19" x14ac:dyDescent="0.3">
      <c r="A636">
        <v>634</v>
      </c>
      <c r="B636" s="10" t="s">
        <v>1281</v>
      </c>
      <c r="C636" s="10" t="s">
        <v>1037</v>
      </c>
      <c r="D636" s="11" t="str">
        <f>VLOOKUP(MID(B636,6,1),'Tabel Acuan'!$A$10:$B$17,2,0)</f>
        <v>Information Technology (IT)</v>
      </c>
      <c r="E636" t="str">
        <f>VLOOKUP(MID(B636,8,2),'Tabel Acuan'!$A$1:$B$6,2,0)</f>
        <v>Assistant Manager</v>
      </c>
      <c r="F636" s="12">
        <v>45458</v>
      </c>
      <c r="G636" s="8" cm="1">
        <f t="array" ref="G636">INDEX('Tabel Acuan'!$F$4:$F$39,
MATCH(1,('Tabel Acuan'!$D$4:$D$39='Data Gaji Pegawai'!D636)*('Tabel Acuan'!$E$4:$E$39='Data Gaji Pegawai'!E636),0))</f>
        <v>11500000</v>
      </c>
      <c r="H636">
        <f>I636/100000</f>
        <v>54</v>
      </c>
      <c r="I636" s="14">
        <v>5400000</v>
      </c>
      <c r="J636">
        <f ca="1">INT((TODAY()-F636)/30.417)</f>
        <v>24</v>
      </c>
      <c r="K636" s="13">
        <f t="shared" ca="1" si="9"/>
        <v>0</v>
      </c>
      <c r="L636" s="8">
        <f>G636*3.7%</f>
        <v>425500.00000000006</v>
      </c>
      <c r="M636" s="8">
        <f>G636*2%</f>
        <v>230000</v>
      </c>
      <c r="N636" s="8">
        <f>G636*4%</f>
        <v>460000</v>
      </c>
      <c r="O636" s="8">
        <f>G636*1%</f>
        <v>115000</v>
      </c>
      <c r="P636">
        <v>11</v>
      </c>
      <c r="Q636" s="13">
        <f>P636*200000</f>
        <v>2200000</v>
      </c>
      <c r="R636" s="8">
        <v>3500000</v>
      </c>
      <c r="S636" s="9">
        <f>8%*G636</f>
        <v>920000</v>
      </c>
    </row>
    <row r="637" spans="1:19" x14ac:dyDescent="0.3">
      <c r="A637">
        <v>635</v>
      </c>
      <c r="B637" s="10" t="s">
        <v>1282</v>
      </c>
      <c r="C637" s="10" t="s">
        <v>1283</v>
      </c>
      <c r="D637" s="11" t="str">
        <f>VLOOKUP(MID(B637,6,1),'Tabel Acuan'!$A$10:$B$17,2,0)</f>
        <v>Operations</v>
      </c>
      <c r="E637" t="str">
        <f>VLOOKUP(MID(B637,8,2),'Tabel Acuan'!$A$1:$B$6,2,0)</f>
        <v>Supervisor</v>
      </c>
      <c r="F637" s="12">
        <v>44485</v>
      </c>
      <c r="G637" s="8" cm="1">
        <f t="array" ref="G637">INDEX('Tabel Acuan'!$F$4:$F$39,
MATCH(1,('Tabel Acuan'!$D$4:$D$39='Data Gaji Pegawai'!D637)*('Tabel Acuan'!$E$4:$E$39='Data Gaji Pegawai'!E637),0))</f>
        <v>7700000</v>
      </c>
      <c r="H637">
        <f>I637/100000</f>
        <v>34</v>
      </c>
      <c r="I637" s="14">
        <v>3400000</v>
      </c>
      <c r="J637">
        <f ca="1">INT((TODAY()-F637)/30.417)</f>
        <v>56</v>
      </c>
      <c r="K637" s="13">
        <f t="shared" ca="1" si="9"/>
        <v>0</v>
      </c>
      <c r="L637" s="8">
        <f>G637*3.7%</f>
        <v>284900.00000000006</v>
      </c>
      <c r="M637" s="8">
        <f>G637*2%</f>
        <v>154000</v>
      </c>
      <c r="N637" s="8">
        <f>G637*4%</f>
        <v>308000</v>
      </c>
      <c r="O637" s="8">
        <f>G637*1%</f>
        <v>77000</v>
      </c>
      <c r="P637">
        <v>6</v>
      </c>
      <c r="Q637" s="13">
        <f>P637*200000</f>
        <v>1200000</v>
      </c>
      <c r="R637" s="8">
        <v>2500000</v>
      </c>
      <c r="S637" s="9">
        <f>8%*G637</f>
        <v>616000</v>
      </c>
    </row>
    <row r="638" spans="1:19" x14ac:dyDescent="0.3">
      <c r="A638">
        <v>636</v>
      </c>
      <c r="B638" s="10" t="s">
        <v>1284</v>
      </c>
      <c r="C638" s="10" t="s">
        <v>1285</v>
      </c>
      <c r="D638" s="11" t="str">
        <f>VLOOKUP(MID(B638,6,1),'Tabel Acuan'!$A$10:$B$17,2,0)</f>
        <v>Logistics</v>
      </c>
      <c r="E638" t="str">
        <f>VLOOKUP(MID(B638,8,2),'Tabel Acuan'!$A$1:$B$6,2,0)</f>
        <v>Manager</v>
      </c>
      <c r="F638" s="12">
        <v>43466</v>
      </c>
      <c r="G638" s="8" cm="1">
        <f t="array" ref="G638">INDEX('Tabel Acuan'!$F$4:$F$39,
MATCH(1,('Tabel Acuan'!$D$4:$D$39='Data Gaji Pegawai'!D638)*('Tabel Acuan'!$E$4:$E$39='Data Gaji Pegawai'!E638),0))</f>
        <v>12500000</v>
      </c>
      <c r="H638">
        <f>I638/100000</f>
        <v>46</v>
      </c>
      <c r="I638" s="14">
        <v>4600000</v>
      </c>
      <c r="J638">
        <f ca="1">INT((TODAY()-F638)/30.417)</f>
        <v>90</v>
      </c>
      <c r="K638" s="13">
        <f t="shared" ca="1" si="9"/>
        <v>0</v>
      </c>
      <c r="L638" s="8">
        <f>G638*3.7%</f>
        <v>462500.00000000006</v>
      </c>
      <c r="M638" s="8">
        <f>G638*2%</f>
        <v>250000</v>
      </c>
      <c r="N638" s="8">
        <f>G638*4%</f>
        <v>500000</v>
      </c>
      <c r="O638" s="8">
        <f>G638*1%</f>
        <v>125000</v>
      </c>
      <c r="P638">
        <v>1</v>
      </c>
      <c r="Q638" s="13">
        <f>P638*200000</f>
        <v>200000</v>
      </c>
      <c r="R638" s="8">
        <v>3000000</v>
      </c>
      <c r="S638" s="9">
        <f>8%*G638</f>
        <v>1000000</v>
      </c>
    </row>
    <row r="639" spans="1:19" x14ac:dyDescent="0.3">
      <c r="A639">
        <v>637</v>
      </c>
      <c r="B639" s="10" t="s">
        <v>1286</v>
      </c>
      <c r="C639" s="10" t="s">
        <v>221</v>
      </c>
      <c r="D639" s="11" t="str">
        <f>VLOOKUP(MID(B639,6,1),'Tabel Acuan'!$A$10:$B$17,2,0)</f>
        <v>Marketing</v>
      </c>
      <c r="E639" t="str">
        <f>VLOOKUP(MID(B639,8,2),'Tabel Acuan'!$A$1:$B$6,2,0)</f>
        <v>Staff</v>
      </c>
      <c r="F639" s="12">
        <v>42158</v>
      </c>
      <c r="G639" s="8" cm="1">
        <f t="array" ref="G639">INDEX('Tabel Acuan'!$F$4:$F$39,
MATCH(1,('Tabel Acuan'!$D$4:$D$39='Data Gaji Pegawai'!D639)*('Tabel Acuan'!$E$4:$E$39='Data Gaji Pegawai'!E639),0))</f>
        <v>5300000</v>
      </c>
      <c r="H639">
        <f>I639/100000</f>
        <v>14</v>
      </c>
      <c r="I639" s="14">
        <v>1400000</v>
      </c>
      <c r="J639">
        <f ca="1">INT((TODAY()-F639)/30.417)</f>
        <v>133</v>
      </c>
      <c r="K639" s="13">
        <f t="shared" ca="1" si="9"/>
        <v>0</v>
      </c>
      <c r="L639" s="8">
        <f>G639*3.7%</f>
        <v>196100.00000000003</v>
      </c>
      <c r="M639" s="8">
        <f>G639*2%</f>
        <v>106000</v>
      </c>
      <c r="N639" s="8">
        <f>G639*4%</f>
        <v>212000</v>
      </c>
      <c r="O639" s="8">
        <f>G639*1%</f>
        <v>53000</v>
      </c>
      <c r="P639">
        <v>6</v>
      </c>
      <c r="Q639" s="13">
        <f>P639*200000</f>
        <v>1200000</v>
      </c>
      <c r="R639" s="8">
        <v>250000</v>
      </c>
      <c r="S639" s="9">
        <f>8%*G639</f>
        <v>424000</v>
      </c>
    </row>
    <row r="640" spans="1:19" x14ac:dyDescent="0.3">
      <c r="A640">
        <v>638</v>
      </c>
      <c r="B640" s="10" t="s">
        <v>1287</v>
      </c>
      <c r="C640" s="10" t="s">
        <v>97</v>
      </c>
      <c r="D640" s="11" t="str">
        <f>VLOOKUP(MID(B640,6,1),'Tabel Acuan'!$A$10:$B$17,2,0)</f>
        <v>Marketing</v>
      </c>
      <c r="E640" t="str">
        <f>VLOOKUP(MID(B640,8,2),'Tabel Acuan'!$A$1:$B$6,2,0)</f>
        <v>Senior Staff</v>
      </c>
      <c r="F640" s="12">
        <v>43545</v>
      </c>
      <c r="G640" s="8" cm="1">
        <f t="array" ref="G640">INDEX('Tabel Acuan'!$F$4:$F$39,
MATCH(1,('Tabel Acuan'!$D$4:$D$39='Data Gaji Pegawai'!D640)*('Tabel Acuan'!$E$4:$E$39='Data Gaji Pegawai'!E640),0))</f>
        <v>6400000</v>
      </c>
      <c r="H640">
        <f>I640/100000</f>
        <v>6</v>
      </c>
      <c r="I640" s="14">
        <v>600000</v>
      </c>
      <c r="J640">
        <f ca="1">INT((TODAY()-F640)/30.417)</f>
        <v>87</v>
      </c>
      <c r="K640" s="13">
        <f t="shared" ca="1" si="9"/>
        <v>0</v>
      </c>
      <c r="L640" s="8">
        <f>G640*3.7%</f>
        <v>236800.00000000003</v>
      </c>
      <c r="M640" s="8">
        <f>G640*2%</f>
        <v>128000</v>
      </c>
      <c r="N640" s="8">
        <f>G640*4%</f>
        <v>256000</v>
      </c>
      <c r="O640" s="8">
        <f>G640*1%</f>
        <v>64000</v>
      </c>
      <c r="P640">
        <v>1</v>
      </c>
      <c r="Q640" s="13">
        <f>P640*200000</f>
        <v>200000</v>
      </c>
      <c r="R640" s="8">
        <v>500000</v>
      </c>
      <c r="S640" s="9">
        <f>8%*G640</f>
        <v>512000</v>
      </c>
    </row>
    <row r="641" spans="1:19" x14ac:dyDescent="0.3">
      <c r="A641">
        <v>639</v>
      </c>
      <c r="B641" s="10" t="s">
        <v>1288</v>
      </c>
      <c r="C641" s="10" t="s">
        <v>1289</v>
      </c>
      <c r="D641" s="11" t="str">
        <f>VLOOKUP(MID(B641,6,1),'Tabel Acuan'!$A$10:$B$17,2,0)</f>
        <v>Logistics</v>
      </c>
      <c r="E641" t="str">
        <f>VLOOKUP(MID(B641,8,2),'Tabel Acuan'!$A$1:$B$6,2,0)</f>
        <v>Staff</v>
      </c>
      <c r="F641" s="12">
        <v>42855</v>
      </c>
      <c r="G641" s="8" cm="1">
        <f t="array" ref="G641">INDEX('Tabel Acuan'!$F$4:$F$39,
MATCH(1,('Tabel Acuan'!$D$4:$D$39='Data Gaji Pegawai'!D641)*('Tabel Acuan'!$E$4:$E$39='Data Gaji Pegawai'!E641),0))</f>
        <v>5200000</v>
      </c>
      <c r="H641">
        <f>I641/100000</f>
        <v>16</v>
      </c>
      <c r="I641" s="14">
        <v>1600000</v>
      </c>
      <c r="J641">
        <f ca="1">INT((TODAY()-F641)/30.417)</f>
        <v>110</v>
      </c>
      <c r="K641" s="13">
        <f t="shared" ca="1" si="9"/>
        <v>0</v>
      </c>
      <c r="L641" s="8">
        <f>G641*3.7%</f>
        <v>192400.00000000003</v>
      </c>
      <c r="M641" s="8">
        <f>G641*2%</f>
        <v>104000</v>
      </c>
      <c r="N641" s="8">
        <f>G641*4%</f>
        <v>208000</v>
      </c>
      <c r="O641" s="8">
        <f>G641*1%</f>
        <v>52000</v>
      </c>
      <c r="P641">
        <v>9</v>
      </c>
      <c r="Q641" s="13">
        <f>P641*200000</f>
        <v>1800000</v>
      </c>
      <c r="R641" s="8">
        <v>0</v>
      </c>
      <c r="S641" s="9">
        <f>8%*G641</f>
        <v>416000</v>
      </c>
    </row>
    <row r="642" spans="1:19" x14ac:dyDescent="0.3">
      <c r="A642">
        <v>640</v>
      </c>
      <c r="B642" s="10" t="s">
        <v>1290</v>
      </c>
      <c r="C642" s="10" t="s">
        <v>1274</v>
      </c>
      <c r="D642" s="11" t="str">
        <f>VLOOKUP(MID(B642,6,1),'Tabel Acuan'!$A$10:$B$17,2,0)</f>
        <v>Marketing</v>
      </c>
      <c r="E642" t="str">
        <f>VLOOKUP(MID(B642,8,2),'Tabel Acuan'!$A$1:$B$6,2,0)</f>
        <v>Assistant Manager</v>
      </c>
      <c r="F642" s="12">
        <v>44363</v>
      </c>
      <c r="G642" s="8" cm="1">
        <f t="array" ref="G642">INDEX('Tabel Acuan'!$F$4:$F$39,
MATCH(1,('Tabel Acuan'!$D$4:$D$39='Data Gaji Pegawai'!D642)*('Tabel Acuan'!$E$4:$E$39='Data Gaji Pegawai'!E642),0))</f>
        <v>9800000</v>
      </c>
      <c r="H642">
        <f>I642/100000</f>
        <v>50</v>
      </c>
      <c r="I642" s="14">
        <v>5000000</v>
      </c>
      <c r="J642">
        <f ca="1">INT((TODAY()-F642)/30.417)</f>
        <v>60</v>
      </c>
      <c r="K642" s="13">
        <f t="shared" ca="1" si="9"/>
        <v>0</v>
      </c>
      <c r="L642" s="8">
        <f>G642*3.7%</f>
        <v>362600.00000000006</v>
      </c>
      <c r="M642" s="8">
        <f>G642*2%</f>
        <v>196000</v>
      </c>
      <c r="N642" s="8">
        <f>G642*4%</f>
        <v>392000</v>
      </c>
      <c r="O642" s="8">
        <f>G642*1%</f>
        <v>98000</v>
      </c>
      <c r="P642">
        <v>15</v>
      </c>
      <c r="Q642" s="13">
        <f>P642*200000</f>
        <v>3000000</v>
      </c>
      <c r="R642" s="8">
        <v>0</v>
      </c>
      <c r="S642" s="9">
        <f>8%*G642</f>
        <v>784000</v>
      </c>
    </row>
    <row r="643" spans="1:19" x14ac:dyDescent="0.3">
      <c r="A643">
        <v>641</v>
      </c>
      <c r="B643" s="10" t="s">
        <v>1291</v>
      </c>
      <c r="C643" s="10" t="s">
        <v>1292</v>
      </c>
      <c r="D643" s="11" t="str">
        <f>VLOOKUP(MID(B643,6,1),'Tabel Acuan'!$A$10:$B$17,2,0)</f>
        <v>Operations</v>
      </c>
      <c r="E643" t="str">
        <f>VLOOKUP(MID(B643,8,2),'Tabel Acuan'!$A$1:$B$6,2,0)</f>
        <v>Assistant Manager</v>
      </c>
      <c r="F643" s="12">
        <v>45445</v>
      </c>
      <c r="G643" s="8" cm="1">
        <f t="array" ref="G643">INDEX('Tabel Acuan'!$F$4:$F$39,
MATCH(1,('Tabel Acuan'!$D$4:$D$39='Data Gaji Pegawai'!D643)*('Tabel Acuan'!$E$4:$E$39='Data Gaji Pegawai'!E643),0))</f>
        <v>9700000</v>
      </c>
      <c r="H643">
        <f>I643/100000</f>
        <v>2</v>
      </c>
      <c r="I643" s="14">
        <v>200000</v>
      </c>
      <c r="J643">
        <f ca="1">INT((TODAY()-F643)/30.417)</f>
        <v>24</v>
      </c>
      <c r="K643" s="13">
        <f t="shared" ca="1" si="9"/>
        <v>0</v>
      </c>
      <c r="L643" s="8">
        <f>G643*3.7%</f>
        <v>358900.00000000006</v>
      </c>
      <c r="M643" s="8">
        <f>G643*2%</f>
        <v>194000</v>
      </c>
      <c r="N643" s="8">
        <f>G643*4%</f>
        <v>388000</v>
      </c>
      <c r="O643" s="8">
        <f>G643*1%</f>
        <v>97000</v>
      </c>
      <c r="P643">
        <v>12</v>
      </c>
      <c r="Q643" s="13">
        <f>P643*200000</f>
        <v>2400000</v>
      </c>
      <c r="R643" s="8">
        <v>0</v>
      </c>
      <c r="S643" s="9">
        <f>8%*G643</f>
        <v>776000</v>
      </c>
    </row>
    <row r="644" spans="1:19" x14ac:dyDescent="0.3">
      <c r="A644">
        <v>642</v>
      </c>
      <c r="B644" s="10" t="s">
        <v>1293</v>
      </c>
      <c r="C644" s="10" t="s">
        <v>1294</v>
      </c>
      <c r="D644" s="11" t="str">
        <f>VLOOKUP(MID(B644,6,1),'Tabel Acuan'!$A$10:$B$17,2,0)</f>
        <v>Operations</v>
      </c>
      <c r="E644" t="str">
        <f>VLOOKUP(MID(B644,8,2),'Tabel Acuan'!$A$1:$B$6,2,0)</f>
        <v>Staff</v>
      </c>
      <c r="F644" s="12">
        <v>42066</v>
      </c>
      <c r="G644" s="8" cm="1">
        <f t="array" ref="G644">INDEX('Tabel Acuan'!$F$4:$F$39,
MATCH(1,('Tabel Acuan'!$D$4:$D$39='Data Gaji Pegawai'!D644)*('Tabel Acuan'!$E$4:$E$39='Data Gaji Pegawai'!E644),0))</f>
        <v>5200000</v>
      </c>
      <c r="H644">
        <f>I644/100000</f>
        <v>55</v>
      </c>
      <c r="I644" s="14">
        <v>5500000</v>
      </c>
      <c r="J644">
        <f ca="1">INT((TODAY()-F644)/30.417)</f>
        <v>136</v>
      </c>
      <c r="K644" s="13">
        <f t="shared" ref="K644:K702" ca="1" si="10">IF(MONTH(TODAY())=12, IF(J644&gt;=12,G644,G644*(J644/12)), 0)</f>
        <v>0</v>
      </c>
      <c r="L644" s="8">
        <f>G644*3.7%</f>
        <v>192400.00000000003</v>
      </c>
      <c r="M644" s="8">
        <f>G644*2%</f>
        <v>104000</v>
      </c>
      <c r="N644" s="8">
        <f>G644*4%</f>
        <v>208000</v>
      </c>
      <c r="O644" s="8">
        <f>G644*1%</f>
        <v>52000</v>
      </c>
      <c r="P644">
        <v>7</v>
      </c>
      <c r="Q644" s="13">
        <f>P644*200000</f>
        <v>1400000</v>
      </c>
      <c r="R644" s="8">
        <v>3000000</v>
      </c>
      <c r="S644" s="9">
        <f>8%*G644</f>
        <v>416000</v>
      </c>
    </row>
    <row r="645" spans="1:19" x14ac:dyDescent="0.3">
      <c r="A645">
        <v>643</v>
      </c>
      <c r="B645" s="10" t="s">
        <v>1295</v>
      </c>
      <c r="C645" s="10" t="s">
        <v>1296</v>
      </c>
      <c r="D645" s="11" t="str">
        <f>VLOOKUP(MID(B645,6,1),'Tabel Acuan'!$A$10:$B$17,2,0)</f>
        <v>Sales</v>
      </c>
      <c r="E645" t="str">
        <f>VLOOKUP(MID(B645,8,2),'Tabel Acuan'!$A$1:$B$6,2,0)</f>
        <v>Supervisor</v>
      </c>
      <c r="F645" s="12">
        <v>42161</v>
      </c>
      <c r="G645" s="8" cm="1">
        <f t="array" ref="G645">INDEX('Tabel Acuan'!$F$4:$F$39,
MATCH(1,('Tabel Acuan'!$D$4:$D$39='Data Gaji Pegawai'!D645)*('Tabel Acuan'!$E$4:$E$39='Data Gaji Pegawai'!E645),0))</f>
        <v>7500000</v>
      </c>
      <c r="H645">
        <f>I645/100000</f>
        <v>33</v>
      </c>
      <c r="I645" s="14">
        <v>3300000</v>
      </c>
      <c r="J645">
        <f ca="1">INT((TODAY()-F645)/30.417)</f>
        <v>132</v>
      </c>
      <c r="K645" s="13">
        <f t="shared" ca="1" si="10"/>
        <v>0</v>
      </c>
      <c r="L645" s="8">
        <f>G645*3.7%</f>
        <v>277500.00000000006</v>
      </c>
      <c r="M645" s="8">
        <f>G645*2%</f>
        <v>150000</v>
      </c>
      <c r="N645" s="8">
        <f>G645*4%</f>
        <v>300000</v>
      </c>
      <c r="O645" s="8">
        <f>G645*1%</f>
        <v>75000</v>
      </c>
      <c r="P645">
        <v>1</v>
      </c>
      <c r="Q645" s="13">
        <f>P645*200000</f>
        <v>200000</v>
      </c>
      <c r="R645" s="8">
        <v>0</v>
      </c>
      <c r="S645" s="9">
        <f>8%*G645</f>
        <v>600000</v>
      </c>
    </row>
    <row r="646" spans="1:19" x14ac:dyDescent="0.3">
      <c r="A646">
        <v>644</v>
      </c>
      <c r="B646" s="10" t="s">
        <v>1297</v>
      </c>
      <c r="C646" s="10" t="s">
        <v>1298</v>
      </c>
      <c r="D646" s="11" t="str">
        <f>VLOOKUP(MID(B646,6,1),'Tabel Acuan'!$A$10:$B$17,2,0)</f>
        <v>Finance</v>
      </c>
      <c r="E646" t="str">
        <f>VLOOKUP(MID(B646,8,2),'Tabel Acuan'!$A$1:$B$6,2,0)</f>
        <v>Staff</v>
      </c>
      <c r="F646" s="12">
        <v>45370</v>
      </c>
      <c r="G646" s="8" cm="1">
        <f t="array" ref="G646">INDEX('Tabel Acuan'!$F$4:$F$39,
MATCH(1,('Tabel Acuan'!$D$4:$D$39='Data Gaji Pegawai'!D646)*('Tabel Acuan'!$E$4:$E$39='Data Gaji Pegawai'!E646),0))</f>
        <v>5500000</v>
      </c>
      <c r="H646">
        <f>I646/100000</f>
        <v>3</v>
      </c>
      <c r="I646" s="14">
        <v>300000</v>
      </c>
      <c r="J646">
        <f ca="1">INT((TODAY()-F646)/30.417)</f>
        <v>27</v>
      </c>
      <c r="K646" s="13">
        <f t="shared" ca="1" si="10"/>
        <v>0</v>
      </c>
      <c r="L646" s="8">
        <f>G646*3.7%</f>
        <v>203500.00000000003</v>
      </c>
      <c r="M646" s="8">
        <f>G646*2%</f>
        <v>110000</v>
      </c>
      <c r="N646" s="8">
        <f>G646*4%</f>
        <v>220000</v>
      </c>
      <c r="O646" s="8">
        <f>G646*1%</f>
        <v>55000</v>
      </c>
      <c r="P646">
        <v>12</v>
      </c>
      <c r="Q646" s="13">
        <f>P646*200000</f>
        <v>2400000</v>
      </c>
      <c r="R646" s="8">
        <v>5000000</v>
      </c>
      <c r="S646" s="9">
        <f>8%*G646</f>
        <v>440000</v>
      </c>
    </row>
    <row r="647" spans="1:19" x14ac:dyDescent="0.3">
      <c r="A647">
        <v>645</v>
      </c>
      <c r="B647" s="10" t="s">
        <v>1299</v>
      </c>
      <c r="C647" s="10" t="s">
        <v>1300</v>
      </c>
      <c r="D647" s="11" t="str">
        <f>VLOOKUP(MID(B647,6,1),'Tabel Acuan'!$A$10:$B$17,2,0)</f>
        <v>Marketing</v>
      </c>
      <c r="E647" t="str">
        <f>VLOOKUP(MID(B647,8,2),'Tabel Acuan'!$A$1:$B$6,2,0)</f>
        <v>Senior Staff</v>
      </c>
      <c r="F647" s="12">
        <v>45440</v>
      </c>
      <c r="G647" s="8" cm="1">
        <f t="array" ref="G647">INDEX('Tabel Acuan'!$F$4:$F$39,
MATCH(1,('Tabel Acuan'!$D$4:$D$39='Data Gaji Pegawai'!D647)*('Tabel Acuan'!$E$4:$E$39='Data Gaji Pegawai'!E647),0))</f>
        <v>6400000</v>
      </c>
      <c r="H647">
        <f>I647/100000</f>
        <v>50</v>
      </c>
      <c r="I647" s="14">
        <v>5000000</v>
      </c>
      <c r="J647">
        <f ca="1">INT((TODAY()-F647)/30.417)</f>
        <v>25</v>
      </c>
      <c r="K647" s="13">
        <f t="shared" ca="1" si="10"/>
        <v>0</v>
      </c>
      <c r="L647" s="8">
        <f>G647*3.7%</f>
        <v>236800.00000000003</v>
      </c>
      <c r="M647" s="8">
        <f>G647*2%</f>
        <v>128000</v>
      </c>
      <c r="N647" s="8">
        <f>G647*4%</f>
        <v>256000</v>
      </c>
      <c r="O647" s="8">
        <f>G647*1%</f>
        <v>64000</v>
      </c>
      <c r="P647">
        <v>12</v>
      </c>
      <c r="Q647" s="13">
        <f>P647*200000</f>
        <v>2400000</v>
      </c>
      <c r="R647" s="8">
        <v>0</v>
      </c>
      <c r="S647" s="9">
        <f>8%*G647</f>
        <v>512000</v>
      </c>
    </row>
    <row r="648" spans="1:19" x14ac:dyDescent="0.3">
      <c r="A648">
        <v>646</v>
      </c>
      <c r="B648" s="10" t="s">
        <v>1301</v>
      </c>
      <c r="C648" s="10" t="s">
        <v>295</v>
      </c>
      <c r="D648" s="11" t="str">
        <f>VLOOKUP(MID(B648,6,1),'Tabel Acuan'!$A$10:$B$17,2,0)</f>
        <v>Human Resources (HR)</v>
      </c>
      <c r="E648" t="str">
        <f>VLOOKUP(MID(B648,8,2),'Tabel Acuan'!$A$1:$B$6,2,0)</f>
        <v>Senior Staff</v>
      </c>
      <c r="F648" s="12">
        <v>44111</v>
      </c>
      <c r="G648" s="8" cm="1">
        <f t="array" ref="G648">INDEX('Tabel Acuan'!$F$4:$F$39,
MATCH(1,('Tabel Acuan'!$D$4:$D$39='Data Gaji Pegawai'!D648)*('Tabel Acuan'!$E$4:$E$39='Data Gaji Pegawai'!E648),0))</f>
        <v>6000000</v>
      </c>
      <c r="H648">
        <f>I648/100000</f>
        <v>25</v>
      </c>
      <c r="I648" s="14">
        <v>2500000</v>
      </c>
      <c r="J648">
        <f ca="1">INT((TODAY()-F648)/30.417)</f>
        <v>68</v>
      </c>
      <c r="K648" s="13">
        <f t="shared" ca="1" si="10"/>
        <v>0</v>
      </c>
      <c r="L648" s="8">
        <f>G648*3.7%</f>
        <v>222000.00000000003</v>
      </c>
      <c r="M648" s="8">
        <f>G648*2%</f>
        <v>120000</v>
      </c>
      <c r="N648" s="8">
        <f>G648*4%</f>
        <v>240000</v>
      </c>
      <c r="O648" s="8">
        <f>G648*1%</f>
        <v>60000</v>
      </c>
      <c r="P648">
        <v>8</v>
      </c>
      <c r="Q648" s="13">
        <f>P648*200000</f>
        <v>1600000</v>
      </c>
      <c r="R648" s="8">
        <v>0</v>
      </c>
      <c r="S648" s="9">
        <f>8%*G648</f>
        <v>480000</v>
      </c>
    </row>
    <row r="649" spans="1:19" x14ac:dyDescent="0.3">
      <c r="A649">
        <v>647</v>
      </c>
      <c r="B649" s="10" t="s">
        <v>1302</v>
      </c>
      <c r="C649" s="10" t="s">
        <v>1303</v>
      </c>
      <c r="D649" s="11" t="str">
        <f>VLOOKUP(MID(B649,6,1),'Tabel Acuan'!$A$10:$B$17,2,0)</f>
        <v>Information Technology (IT)</v>
      </c>
      <c r="E649" t="str">
        <f>VLOOKUP(MID(B649,8,2),'Tabel Acuan'!$A$1:$B$6,2,0)</f>
        <v>Supervisor</v>
      </c>
      <c r="F649" s="12">
        <v>44996</v>
      </c>
      <c r="G649" s="8" cm="1">
        <f t="array" ref="G649">INDEX('Tabel Acuan'!$F$4:$F$39,
MATCH(1,('Tabel Acuan'!$D$4:$D$39='Data Gaji Pegawai'!D649)*('Tabel Acuan'!$E$4:$E$39='Data Gaji Pegawai'!E649),0))</f>
        <v>9000000</v>
      </c>
      <c r="H649">
        <f>I649/100000</f>
        <v>30</v>
      </c>
      <c r="I649" s="14">
        <v>3000000</v>
      </c>
      <c r="J649">
        <f ca="1">INT((TODAY()-F649)/30.417)</f>
        <v>39</v>
      </c>
      <c r="K649" s="13">
        <f t="shared" ca="1" si="10"/>
        <v>0</v>
      </c>
      <c r="L649" s="8">
        <f>G649*3.7%</f>
        <v>333000.00000000006</v>
      </c>
      <c r="M649" s="8">
        <f>G649*2%</f>
        <v>180000</v>
      </c>
      <c r="N649" s="8">
        <f>G649*4%</f>
        <v>360000</v>
      </c>
      <c r="O649" s="8">
        <f>G649*1%</f>
        <v>90000</v>
      </c>
      <c r="P649">
        <v>6</v>
      </c>
      <c r="Q649" s="13">
        <f>P649*200000</f>
        <v>1200000</v>
      </c>
      <c r="R649" s="8">
        <v>3500000</v>
      </c>
      <c r="S649" s="9">
        <f>8%*G649</f>
        <v>720000</v>
      </c>
    </row>
    <row r="650" spans="1:19" x14ac:dyDescent="0.3">
      <c r="A650">
        <v>648</v>
      </c>
      <c r="B650" s="10" t="s">
        <v>1304</v>
      </c>
      <c r="C650" s="10" t="s">
        <v>1305</v>
      </c>
      <c r="D650" s="11" t="str">
        <f>VLOOKUP(MID(B650,6,1),'Tabel Acuan'!$A$10:$B$17,2,0)</f>
        <v>Finance</v>
      </c>
      <c r="E650" t="str">
        <f>VLOOKUP(MID(B650,8,2),'Tabel Acuan'!$A$1:$B$6,2,0)</f>
        <v>Senior Staff</v>
      </c>
      <c r="F650" s="12">
        <v>45418</v>
      </c>
      <c r="G650" s="8" cm="1">
        <f t="array" ref="G650">INDEX('Tabel Acuan'!$F$4:$F$39,
MATCH(1,('Tabel Acuan'!$D$4:$D$39='Data Gaji Pegawai'!D650)*('Tabel Acuan'!$E$4:$E$39='Data Gaji Pegawai'!E650),0))</f>
        <v>6600000</v>
      </c>
      <c r="H650">
        <f>I650/100000</f>
        <v>15</v>
      </c>
      <c r="I650" s="14">
        <v>1500000</v>
      </c>
      <c r="J650">
        <f ca="1">INT((TODAY()-F650)/30.417)</f>
        <v>25</v>
      </c>
      <c r="K650" s="13">
        <f t="shared" ca="1" si="10"/>
        <v>0</v>
      </c>
      <c r="L650" s="8">
        <f>G650*3.7%</f>
        <v>244200.00000000003</v>
      </c>
      <c r="M650" s="8">
        <f>G650*2%</f>
        <v>132000</v>
      </c>
      <c r="N650" s="8">
        <f>G650*4%</f>
        <v>264000</v>
      </c>
      <c r="O650" s="8">
        <f>G650*1%</f>
        <v>66000</v>
      </c>
      <c r="P650">
        <v>2</v>
      </c>
      <c r="Q650" s="13">
        <f>P650*200000</f>
        <v>400000</v>
      </c>
      <c r="R650" s="8">
        <v>0</v>
      </c>
      <c r="S650" s="9">
        <f>8%*G650</f>
        <v>528000</v>
      </c>
    </row>
    <row r="651" spans="1:19" x14ac:dyDescent="0.3">
      <c r="A651">
        <v>649</v>
      </c>
      <c r="B651" s="10" t="s">
        <v>1306</v>
      </c>
      <c r="C651" s="10" t="s">
        <v>1307</v>
      </c>
      <c r="D651" s="11" t="str">
        <f>VLOOKUP(MID(B651,6,1),'Tabel Acuan'!$A$10:$B$17,2,0)</f>
        <v>Logistics</v>
      </c>
      <c r="E651" t="str">
        <f>VLOOKUP(MID(B651,8,2),'Tabel Acuan'!$A$1:$B$6,2,0)</f>
        <v>Supervisor</v>
      </c>
      <c r="F651" s="12">
        <v>44254</v>
      </c>
      <c r="G651" s="8" cm="1">
        <f t="array" ref="G651">INDEX('Tabel Acuan'!$F$4:$F$39,
MATCH(1,('Tabel Acuan'!$D$4:$D$39='Data Gaji Pegawai'!D651)*('Tabel Acuan'!$E$4:$E$39='Data Gaji Pegawai'!E651),0))</f>
        <v>7500000</v>
      </c>
      <c r="H651">
        <f>I651/100000</f>
        <v>42</v>
      </c>
      <c r="I651" s="14">
        <v>4200000</v>
      </c>
      <c r="J651">
        <f ca="1">INT((TODAY()-F651)/30.417)</f>
        <v>64</v>
      </c>
      <c r="K651" s="13">
        <f t="shared" ca="1" si="10"/>
        <v>0</v>
      </c>
      <c r="L651" s="8">
        <f>G651*3.7%</f>
        <v>277500.00000000006</v>
      </c>
      <c r="M651" s="8">
        <f>G651*2%</f>
        <v>150000</v>
      </c>
      <c r="N651" s="8">
        <f>G651*4%</f>
        <v>300000</v>
      </c>
      <c r="O651" s="8">
        <f>G651*1%</f>
        <v>75000</v>
      </c>
      <c r="P651">
        <v>13</v>
      </c>
      <c r="Q651" s="13">
        <f>P651*200000</f>
        <v>2600000</v>
      </c>
      <c r="R651" s="8">
        <v>1250000</v>
      </c>
      <c r="S651" s="9">
        <f>8%*G651</f>
        <v>600000</v>
      </c>
    </row>
    <row r="652" spans="1:19" x14ac:dyDescent="0.3">
      <c r="A652">
        <v>650</v>
      </c>
      <c r="B652" s="10" t="s">
        <v>1308</v>
      </c>
      <c r="C652" s="10" t="s">
        <v>1309</v>
      </c>
      <c r="D652" s="11" t="str">
        <f>VLOOKUP(MID(B652,6,1),'Tabel Acuan'!$A$10:$B$17,2,0)</f>
        <v>Logistics</v>
      </c>
      <c r="E652" t="str">
        <f>VLOOKUP(MID(B652,8,2),'Tabel Acuan'!$A$1:$B$6,2,0)</f>
        <v>Staff</v>
      </c>
      <c r="F652" s="12">
        <v>43257</v>
      </c>
      <c r="G652" s="8" cm="1">
        <f t="array" ref="G652">INDEX('Tabel Acuan'!$F$4:$F$39,
MATCH(1,('Tabel Acuan'!$D$4:$D$39='Data Gaji Pegawai'!D652)*('Tabel Acuan'!$E$4:$E$39='Data Gaji Pegawai'!E652),0))</f>
        <v>5200000</v>
      </c>
      <c r="H652">
        <f>I652/100000</f>
        <v>10</v>
      </c>
      <c r="I652" s="14">
        <v>1000000</v>
      </c>
      <c r="J652">
        <f ca="1">INT((TODAY()-F652)/30.417)</f>
        <v>96</v>
      </c>
      <c r="K652" s="13">
        <f t="shared" ca="1" si="10"/>
        <v>0</v>
      </c>
      <c r="L652" s="8">
        <f>G652*3.7%</f>
        <v>192400.00000000003</v>
      </c>
      <c r="M652" s="8">
        <f>G652*2%</f>
        <v>104000</v>
      </c>
      <c r="N652" s="8">
        <f>G652*4%</f>
        <v>208000</v>
      </c>
      <c r="O652" s="8">
        <f>G652*1%</f>
        <v>52000</v>
      </c>
      <c r="P652">
        <v>11</v>
      </c>
      <c r="Q652" s="13">
        <f>P652*200000</f>
        <v>2200000</v>
      </c>
      <c r="R652" s="8">
        <v>5000000</v>
      </c>
      <c r="S652" s="9">
        <f>8%*G652</f>
        <v>416000</v>
      </c>
    </row>
    <row r="653" spans="1:19" x14ac:dyDescent="0.3">
      <c r="A653">
        <v>651</v>
      </c>
      <c r="B653" s="10" t="s">
        <v>1310</v>
      </c>
      <c r="C653" s="10" t="s">
        <v>803</v>
      </c>
      <c r="D653" s="11" t="str">
        <f>VLOOKUP(MID(B653,6,1),'Tabel Acuan'!$A$10:$B$17,2,0)</f>
        <v>Marketing</v>
      </c>
      <c r="E653" t="str">
        <f>VLOOKUP(MID(B653,8,2),'Tabel Acuan'!$A$1:$B$6,2,0)</f>
        <v>Staff</v>
      </c>
      <c r="F653" s="12">
        <v>44664</v>
      </c>
      <c r="G653" s="8" cm="1">
        <f t="array" ref="G653">INDEX('Tabel Acuan'!$F$4:$F$39,
MATCH(1,('Tabel Acuan'!$D$4:$D$39='Data Gaji Pegawai'!D653)*('Tabel Acuan'!$E$4:$E$39='Data Gaji Pegawai'!E653),0))</f>
        <v>5300000</v>
      </c>
      <c r="H653">
        <f>I653/100000</f>
        <v>43</v>
      </c>
      <c r="I653" s="14">
        <v>4300000</v>
      </c>
      <c r="J653">
        <f ca="1">INT((TODAY()-F653)/30.417)</f>
        <v>50</v>
      </c>
      <c r="K653" s="13">
        <f t="shared" ca="1" si="10"/>
        <v>0</v>
      </c>
      <c r="L653" s="8">
        <f>G653*3.7%</f>
        <v>196100.00000000003</v>
      </c>
      <c r="M653" s="8">
        <f>G653*2%</f>
        <v>106000</v>
      </c>
      <c r="N653" s="8">
        <f>G653*4%</f>
        <v>212000</v>
      </c>
      <c r="O653" s="8">
        <f>G653*1%</f>
        <v>53000</v>
      </c>
      <c r="P653">
        <v>11</v>
      </c>
      <c r="Q653" s="13">
        <f>P653*200000</f>
        <v>2200000</v>
      </c>
      <c r="R653" s="8">
        <v>0</v>
      </c>
      <c r="S653" s="9">
        <f>8%*G653</f>
        <v>424000</v>
      </c>
    </row>
    <row r="654" spans="1:19" x14ac:dyDescent="0.3">
      <c r="A654">
        <v>652</v>
      </c>
      <c r="B654" s="10" t="s">
        <v>1311</v>
      </c>
      <c r="C654" s="10" t="s">
        <v>1312</v>
      </c>
      <c r="D654" s="11" t="str">
        <f>VLOOKUP(MID(B654,6,1),'Tabel Acuan'!$A$10:$B$17,2,0)</f>
        <v>Human Resources (HR)</v>
      </c>
      <c r="E654" t="str">
        <f>VLOOKUP(MID(B654,8,2),'Tabel Acuan'!$A$1:$B$6,2,0)</f>
        <v>Supervisor</v>
      </c>
      <c r="F654" s="12">
        <v>42445</v>
      </c>
      <c r="G654" s="8" cm="1">
        <f t="array" ref="G654">INDEX('Tabel Acuan'!$F$4:$F$39,
MATCH(1,('Tabel Acuan'!$D$4:$D$39='Data Gaji Pegawai'!D654)*('Tabel Acuan'!$E$4:$E$39='Data Gaji Pegawai'!E654),0))</f>
        <v>7250000</v>
      </c>
      <c r="H654">
        <f>I654/100000</f>
        <v>55</v>
      </c>
      <c r="I654" s="14">
        <v>5500000</v>
      </c>
      <c r="J654">
        <f ca="1">INT((TODAY()-F654)/30.417)</f>
        <v>123</v>
      </c>
      <c r="K654" s="13">
        <f t="shared" ca="1" si="10"/>
        <v>0</v>
      </c>
      <c r="L654" s="8">
        <f>G654*3.7%</f>
        <v>268250.00000000006</v>
      </c>
      <c r="M654" s="8">
        <f>G654*2%</f>
        <v>145000</v>
      </c>
      <c r="N654" s="8">
        <f>G654*4%</f>
        <v>290000</v>
      </c>
      <c r="O654" s="8">
        <f>G654*1%</f>
        <v>72500</v>
      </c>
      <c r="P654">
        <v>9</v>
      </c>
      <c r="Q654" s="13">
        <f>P654*200000</f>
        <v>1800000</v>
      </c>
      <c r="R654" s="8">
        <v>0</v>
      </c>
      <c r="S654" s="9">
        <f>8%*G654</f>
        <v>580000</v>
      </c>
    </row>
    <row r="655" spans="1:19" x14ac:dyDescent="0.3">
      <c r="A655">
        <v>653</v>
      </c>
      <c r="B655" s="10" t="s">
        <v>1313</v>
      </c>
      <c r="C655" s="10" t="s">
        <v>692</v>
      </c>
      <c r="D655" s="11" t="str">
        <f>VLOOKUP(MID(B655,6,1),'Tabel Acuan'!$A$10:$B$17,2,0)</f>
        <v>Logistics</v>
      </c>
      <c r="E655" t="str">
        <f>VLOOKUP(MID(B655,8,2),'Tabel Acuan'!$A$1:$B$6,2,0)</f>
        <v>Senior Staff</v>
      </c>
      <c r="F655" s="12">
        <v>42477</v>
      </c>
      <c r="G655" s="8" cm="1">
        <f t="array" ref="G655">INDEX('Tabel Acuan'!$F$4:$F$39,
MATCH(1,('Tabel Acuan'!$D$4:$D$39='Data Gaji Pegawai'!D655)*('Tabel Acuan'!$E$4:$E$39='Data Gaji Pegawai'!E655),0))</f>
        <v>6250000</v>
      </c>
      <c r="H655">
        <f>I655/100000</f>
        <v>47</v>
      </c>
      <c r="I655" s="14">
        <v>4700000</v>
      </c>
      <c r="J655">
        <f ca="1">INT((TODAY()-F655)/30.417)</f>
        <v>122</v>
      </c>
      <c r="K655" s="13">
        <f t="shared" ca="1" si="10"/>
        <v>0</v>
      </c>
      <c r="L655" s="8">
        <f>G655*3.7%</f>
        <v>231250.00000000003</v>
      </c>
      <c r="M655" s="8">
        <f>G655*2%</f>
        <v>125000</v>
      </c>
      <c r="N655" s="8">
        <f>G655*4%</f>
        <v>250000</v>
      </c>
      <c r="O655" s="8">
        <f>G655*1%</f>
        <v>62500</v>
      </c>
      <c r="P655">
        <v>6</v>
      </c>
      <c r="Q655" s="13">
        <f>P655*200000</f>
        <v>1200000</v>
      </c>
      <c r="R655" s="8">
        <v>0</v>
      </c>
      <c r="S655" s="9">
        <f>8%*G655</f>
        <v>500000</v>
      </c>
    </row>
    <row r="656" spans="1:19" x14ac:dyDescent="0.3">
      <c r="A656">
        <v>654</v>
      </c>
      <c r="B656" s="10" t="s">
        <v>1314</v>
      </c>
      <c r="C656" s="10" t="s">
        <v>1315</v>
      </c>
      <c r="D656" s="11" t="str">
        <f>VLOOKUP(MID(B656,6,1),'Tabel Acuan'!$A$10:$B$17,2,0)</f>
        <v>Operations</v>
      </c>
      <c r="E656" t="str">
        <f>VLOOKUP(MID(B656,8,2),'Tabel Acuan'!$A$1:$B$6,2,0)</f>
        <v>Staff</v>
      </c>
      <c r="F656" s="12">
        <v>44999</v>
      </c>
      <c r="G656" s="8" cm="1">
        <f t="array" ref="G656">INDEX('Tabel Acuan'!$F$4:$F$39,
MATCH(1,('Tabel Acuan'!$D$4:$D$39='Data Gaji Pegawai'!D656)*('Tabel Acuan'!$E$4:$E$39='Data Gaji Pegawai'!E656),0))</f>
        <v>5200000</v>
      </c>
      <c r="H656">
        <f>I656/100000</f>
        <v>44</v>
      </c>
      <c r="I656" s="14">
        <v>4400000</v>
      </c>
      <c r="J656">
        <f ca="1">INT((TODAY()-F656)/30.417)</f>
        <v>39</v>
      </c>
      <c r="K656" s="13">
        <f t="shared" ca="1" si="10"/>
        <v>0</v>
      </c>
      <c r="L656" s="8">
        <f>G656*3.7%</f>
        <v>192400.00000000003</v>
      </c>
      <c r="M656" s="8">
        <f>G656*2%</f>
        <v>104000</v>
      </c>
      <c r="N656" s="8">
        <f>G656*4%</f>
        <v>208000</v>
      </c>
      <c r="O656" s="8">
        <f>G656*1%</f>
        <v>52000</v>
      </c>
      <c r="P656">
        <v>0</v>
      </c>
      <c r="Q656" s="13">
        <f>P656*200000</f>
        <v>0</v>
      </c>
      <c r="R656" s="8">
        <v>3500000</v>
      </c>
      <c r="S656" s="9">
        <f>8%*G656</f>
        <v>416000</v>
      </c>
    </row>
    <row r="657" spans="1:19" x14ac:dyDescent="0.3">
      <c r="A657">
        <v>655</v>
      </c>
      <c r="B657" s="10" t="s">
        <v>1316</v>
      </c>
      <c r="C657" s="10" t="s">
        <v>283</v>
      </c>
      <c r="D657" s="11" t="str">
        <f>VLOOKUP(MID(B657,6,1),'Tabel Acuan'!$A$10:$B$17,2,0)</f>
        <v>Human Resources (HR)</v>
      </c>
      <c r="E657" t="str">
        <f>VLOOKUP(MID(B657,8,2),'Tabel Acuan'!$A$1:$B$6,2,0)</f>
        <v>Staff</v>
      </c>
      <c r="F657" s="12">
        <v>45029</v>
      </c>
      <c r="G657" s="8" cm="1">
        <f t="array" ref="G657">INDEX('Tabel Acuan'!$F$4:$F$39,
MATCH(1,('Tabel Acuan'!$D$4:$D$39='Data Gaji Pegawai'!D657)*('Tabel Acuan'!$E$4:$E$39='Data Gaji Pegawai'!E657),0))</f>
        <v>5000000</v>
      </c>
      <c r="H657">
        <f>I657/100000</f>
        <v>50</v>
      </c>
      <c r="I657" s="14">
        <v>5000000</v>
      </c>
      <c r="J657">
        <f ca="1">INT((TODAY()-F657)/30.417)</f>
        <v>38</v>
      </c>
      <c r="K657" s="13">
        <f t="shared" ca="1" si="10"/>
        <v>0</v>
      </c>
      <c r="L657" s="8">
        <f>G657*3.7%</f>
        <v>185000.00000000003</v>
      </c>
      <c r="M657" s="8">
        <f>G657*2%</f>
        <v>100000</v>
      </c>
      <c r="N657" s="8">
        <f>G657*4%</f>
        <v>200000</v>
      </c>
      <c r="O657" s="8">
        <f>G657*1%</f>
        <v>50000</v>
      </c>
      <c r="P657">
        <v>8</v>
      </c>
      <c r="Q657" s="13">
        <f>P657*200000</f>
        <v>1600000</v>
      </c>
      <c r="R657" s="8">
        <v>0</v>
      </c>
      <c r="S657" s="9">
        <f>8%*G657</f>
        <v>400000</v>
      </c>
    </row>
    <row r="658" spans="1:19" x14ac:dyDescent="0.3">
      <c r="A658">
        <v>656</v>
      </c>
      <c r="B658" s="10" t="s">
        <v>1317</v>
      </c>
      <c r="C658" s="10" t="s">
        <v>1318</v>
      </c>
      <c r="D658" s="11" t="str">
        <f>VLOOKUP(MID(B658,6,1),'Tabel Acuan'!$A$10:$B$17,2,0)</f>
        <v>Human Resources (HR)</v>
      </c>
      <c r="E658" t="str">
        <f>VLOOKUP(MID(B658,8,2),'Tabel Acuan'!$A$1:$B$6,2,0)</f>
        <v>Staff</v>
      </c>
      <c r="F658" s="12">
        <v>45997</v>
      </c>
      <c r="G658" s="8" cm="1">
        <f t="array" ref="G658">INDEX('Tabel Acuan'!$F$4:$F$39,
MATCH(1,('Tabel Acuan'!$D$4:$D$39='Data Gaji Pegawai'!D658)*('Tabel Acuan'!$E$4:$E$39='Data Gaji Pegawai'!E658),0))</f>
        <v>5000000</v>
      </c>
      <c r="H658">
        <f>I658/100000</f>
        <v>54</v>
      </c>
      <c r="I658" s="14">
        <v>5400000</v>
      </c>
      <c r="J658">
        <f ca="1">INT((TODAY()-F658)/30.417)</f>
        <v>6</v>
      </c>
      <c r="K658" s="13">
        <f t="shared" ca="1" si="10"/>
        <v>0</v>
      </c>
      <c r="L658" s="8">
        <f>G658*3.7%</f>
        <v>185000.00000000003</v>
      </c>
      <c r="M658" s="8">
        <f>G658*2%</f>
        <v>100000</v>
      </c>
      <c r="N658" s="8">
        <f>G658*4%</f>
        <v>200000</v>
      </c>
      <c r="O658" s="8">
        <f>G658*1%</f>
        <v>50000</v>
      </c>
      <c r="P658">
        <v>11</v>
      </c>
      <c r="Q658" s="13">
        <f>P658*200000</f>
        <v>2200000</v>
      </c>
      <c r="R658" s="8">
        <v>250000</v>
      </c>
      <c r="S658" s="9">
        <f>8%*G658</f>
        <v>400000</v>
      </c>
    </row>
    <row r="659" spans="1:19" x14ac:dyDescent="0.3">
      <c r="A659">
        <v>657</v>
      </c>
      <c r="B659" s="10" t="s">
        <v>1319</v>
      </c>
      <c r="C659" s="10" t="s">
        <v>1320</v>
      </c>
      <c r="D659" s="11" t="str">
        <f>VLOOKUP(MID(B659,6,1),'Tabel Acuan'!$A$10:$B$17,2,0)</f>
        <v>Operations</v>
      </c>
      <c r="E659" t="str">
        <f>VLOOKUP(MID(B659,8,2),'Tabel Acuan'!$A$1:$B$6,2,0)</f>
        <v>Assistant Manager</v>
      </c>
      <c r="F659" s="12">
        <v>43660</v>
      </c>
      <c r="G659" s="8" cm="1">
        <f t="array" ref="G659">INDEX('Tabel Acuan'!$F$4:$F$39,
MATCH(1,('Tabel Acuan'!$D$4:$D$39='Data Gaji Pegawai'!D659)*('Tabel Acuan'!$E$4:$E$39='Data Gaji Pegawai'!E659),0))</f>
        <v>9700000</v>
      </c>
      <c r="H659">
        <f>I659/100000</f>
        <v>32</v>
      </c>
      <c r="I659" s="14">
        <v>3200000</v>
      </c>
      <c r="J659">
        <f ca="1">INT((TODAY()-F659)/30.417)</f>
        <v>83</v>
      </c>
      <c r="K659" s="13">
        <f t="shared" ca="1" si="10"/>
        <v>0</v>
      </c>
      <c r="L659" s="8">
        <f>G659*3.7%</f>
        <v>358900.00000000006</v>
      </c>
      <c r="M659" s="8">
        <f>G659*2%</f>
        <v>194000</v>
      </c>
      <c r="N659" s="8">
        <f>G659*4%</f>
        <v>388000</v>
      </c>
      <c r="O659" s="8">
        <f>G659*1%</f>
        <v>97000</v>
      </c>
      <c r="P659">
        <v>3</v>
      </c>
      <c r="Q659" s="13">
        <f>P659*200000</f>
        <v>600000</v>
      </c>
      <c r="R659" s="8">
        <v>2000000</v>
      </c>
      <c r="S659" s="9">
        <f>8%*G659</f>
        <v>776000</v>
      </c>
    </row>
    <row r="660" spans="1:19" x14ac:dyDescent="0.3">
      <c r="A660">
        <v>658</v>
      </c>
      <c r="B660" s="10" t="s">
        <v>1321</v>
      </c>
      <c r="C660" s="10" t="s">
        <v>1322</v>
      </c>
      <c r="D660" s="11" t="str">
        <f>VLOOKUP(MID(B660,6,1),'Tabel Acuan'!$A$10:$B$17,2,0)</f>
        <v>Marketing</v>
      </c>
      <c r="E660" t="str">
        <f>VLOOKUP(MID(B660,8,2),'Tabel Acuan'!$A$1:$B$6,2,0)</f>
        <v>Staff</v>
      </c>
      <c r="F660" s="12">
        <v>45526</v>
      </c>
      <c r="G660" s="8" cm="1">
        <f t="array" ref="G660">INDEX('Tabel Acuan'!$F$4:$F$39,
MATCH(1,('Tabel Acuan'!$D$4:$D$39='Data Gaji Pegawai'!D660)*('Tabel Acuan'!$E$4:$E$39='Data Gaji Pegawai'!E660),0))</f>
        <v>5300000</v>
      </c>
      <c r="H660">
        <f>I660/100000</f>
        <v>35</v>
      </c>
      <c r="I660" s="14">
        <v>3500000</v>
      </c>
      <c r="J660">
        <f ca="1">INT((TODAY()-F660)/30.417)</f>
        <v>22</v>
      </c>
      <c r="K660" s="13">
        <f t="shared" ca="1" si="10"/>
        <v>0</v>
      </c>
      <c r="L660" s="8">
        <f>G660*3.7%</f>
        <v>196100.00000000003</v>
      </c>
      <c r="M660" s="8">
        <f>G660*2%</f>
        <v>106000</v>
      </c>
      <c r="N660" s="8">
        <f>G660*4%</f>
        <v>212000</v>
      </c>
      <c r="O660" s="8">
        <f>G660*1%</f>
        <v>53000</v>
      </c>
      <c r="P660">
        <v>0</v>
      </c>
      <c r="Q660" s="13">
        <f>P660*200000</f>
        <v>0</v>
      </c>
      <c r="R660" s="8">
        <v>0</v>
      </c>
      <c r="S660" s="9">
        <f>8%*G660</f>
        <v>424000</v>
      </c>
    </row>
    <row r="661" spans="1:19" x14ac:dyDescent="0.3">
      <c r="A661">
        <v>659</v>
      </c>
      <c r="B661" s="10" t="s">
        <v>1323</v>
      </c>
      <c r="C661" s="10" t="s">
        <v>1324</v>
      </c>
      <c r="D661" s="11" t="str">
        <f>VLOOKUP(MID(B661,6,1),'Tabel Acuan'!$A$10:$B$17,2,0)</f>
        <v>Logistics</v>
      </c>
      <c r="E661" t="str">
        <f>VLOOKUP(MID(B661,8,2),'Tabel Acuan'!$A$1:$B$6,2,0)</f>
        <v>Staff</v>
      </c>
      <c r="F661" s="12">
        <v>45007</v>
      </c>
      <c r="G661" s="8" cm="1">
        <f t="array" ref="G661">INDEX('Tabel Acuan'!$F$4:$F$39,
MATCH(1,('Tabel Acuan'!$D$4:$D$39='Data Gaji Pegawai'!D661)*('Tabel Acuan'!$E$4:$E$39='Data Gaji Pegawai'!E661),0))</f>
        <v>5200000</v>
      </c>
      <c r="H661">
        <f>I661/100000</f>
        <v>1</v>
      </c>
      <c r="I661" s="14">
        <v>100000</v>
      </c>
      <c r="J661">
        <f ca="1">INT((TODAY()-F661)/30.417)</f>
        <v>39</v>
      </c>
      <c r="K661" s="13">
        <f t="shared" ca="1" si="10"/>
        <v>0</v>
      </c>
      <c r="L661" s="8">
        <f>G661*3.7%</f>
        <v>192400.00000000003</v>
      </c>
      <c r="M661" s="8">
        <f>G661*2%</f>
        <v>104000</v>
      </c>
      <c r="N661" s="8">
        <f>G661*4%</f>
        <v>208000</v>
      </c>
      <c r="O661" s="8">
        <f>G661*1%</f>
        <v>52000</v>
      </c>
      <c r="P661">
        <v>11</v>
      </c>
      <c r="Q661" s="13">
        <f>P661*200000</f>
        <v>2200000</v>
      </c>
      <c r="R661" s="8">
        <v>1250000</v>
      </c>
      <c r="S661" s="9">
        <f>8%*G661</f>
        <v>416000</v>
      </c>
    </row>
    <row r="662" spans="1:19" x14ac:dyDescent="0.3">
      <c r="A662">
        <v>660</v>
      </c>
      <c r="B662" s="10" t="s">
        <v>1325</v>
      </c>
      <c r="C662" s="10" t="s">
        <v>1326</v>
      </c>
      <c r="D662" s="11" t="str">
        <f>VLOOKUP(MID(B662,6,1),'Tabel Acuan'!$A$10:$B$17,2,0)</f>
        <v>Logistics</v>
      </c>
      <c r="E662" t="str">
        <f>VLOOKUP(MID(B662,8,2),'Tabel Acuan'!$A$1:$B$6,2,0)</f>
        <v>Staff</v>
      </c>
      <c r="F662" s="12">
        <v>45689</v>
      </c>
      <c r="G662" s="8" cm="1">
        <f t="array" ref="G662">INDEX('Tabel Acuan'!$F$4:$F$39,
MATCH(1,('Tabel Acuan'!$D$4:$D$39='Data Gaji Pegawai'!D662)*('Tabel Acuan'!$E$4:$E$39='Data Gaji Pegawai'!E662),0))</f>
        <v>5200000</v>
      </c>
      <c r="H662">
        <f>I662/100000</f>
        <v>40</v>
      </c>
      <c r="I662" s="14">
        <v>4000000</v>
      </c>
      <c r="J662">
        <f ca="1">INT((TODAY()-F662)/30.417)</f>
        <v>16</v>
      </c>
      <c r="K662" s="13">
        <f t="shared" ca="1" si="10"/>
        <v>0</v>
      </c>
      <c r="L662" s="8">
        <f>G662*3.7%</f>
        <v>192400.00000000003</v>
      </c>
      <c r="M662" s="8">
        <f>G662*2%</f>
        <v>104000</v>
      </c>
      <c r="N662" s="8">
        <f>G662*4%</f>
        <v>208000</v>
      </c>
      <c r="O662" s="8">
        <f>G662*1%</f>
        <v>52000</v>
      </c>
      <c r="P662">
        <v>8</v>
      </c>
      <c r="Q662" s="13">
        <f>P662*200000</f>
        <v>1600000</v>
      </c>
      <c r="R662" s="8">
        <v>250000</v>
      </c>
      <c r="S662" s="9">
        <f>8%*G662</f>
        <v>416000</v>
      </c>
    </row>
    <row r="663" spans="1:19" x14ac:dyDescent="0.3">
      <c r="A663">
        <v>661</v>
      </c>
      <c r="B663" s="10" t="s">
        <v>1327</v>
      </c>
      <c r="C663" s="10" t="s">
        <v>1328</v>
      </c>
      <c r="D663" s="11" t="str">
        <f>VLOOKUP(MID(B663,6,1),'Tabel Acuan'!$A$10:$B$17,2,0)</f>
        <v>Logistics</v>
      </c>
      <c r="E663" t="str">
        <f>VLOOKUP(MID(B663,8,2),'Tabel Acuan'!$A$1:$B$6,2,0)</f>
        <v>Staff</v>
      </c>
      <c r="F663" s="12">
        <v>45263</v>
      </c>
      <c r="G663" s="8" cm="1">
        <f t="array" ref="G663">INDEX('Tabel Acuan'!$F$4:$F$39,
MATCH(1,('Tabel Acuan'!$D$4:$D$39='Data Gaji Pegawai'!D663)*('Tabel Acuan'!$E$4:$E$39='Data Gaji Pegawai'!E663),0))</f>
        <v>5200000</v>
      </c>
      <c r="H663">
        <f>I663/100000</f>
        <v>8</v>
      </c>
      <c r="I663" s="14">
        <v>800000</v>
      </c>
      <c r="J663">
        <f ca="1">INT((TODAY()-F663)/30.417)</f>
        <v>30</v>
      </c>
      <c r="K663" s="13">
        <f t="shared" ca="1" si="10"/>
        <v>0</v>
      </c>
      <c r="L663" s="8">
        <f>G663*3.7%</f>
        <v>192400.00000000003</v>
      </c>
      <c r="M663" s="8">
        <f>G663*2%</f>
        <v>104000</v>
      </c>
      <c r="N663" s="8">
        <f>G663*4%</f>
        <v>208000</v>
      </c>
      <c r="O663" s="8">
        <f>G663*1%</f>
        <v>52000</v>
      </c>
      <c r="P663">
        <v>2</v>
      </c>
      <c r="Q663" s="13">
        <f>P663*200000</f>
        <v>400000</v>
      </c>
      <c r="R663" s="8">
        <v>2500000</v>
      </c>
      <c r="S663" s="9">
        <f>8%*G663</f>
        <v>416000</v>
      </c>
    </row>
    <row r="664" spans="1:19" x14ac:dyDescent="0.3">
      <c r="A664">
        <v>662</v>
      </c>
      <c r="B664" s="10" t="s">
        <v>1329</v>
      </c>
      <c r="C664" s="10" t="s">
        <v>1330</v>
      </c>
      <c r="D664" s="11" t="str">
        <f>VLOOKUP(MID(B664,6,1),'Tabel Acuan'!$A$10:$B$17,2,0)</f>
        <v>Marketing</v>
      </c>
      <c r="E664" t="str">
        <f>VLOOKUP(MID(B664,8,2),'Tabel Acuan'!$A$1:$B$6,2,0)</f>
        <v>Assistant Manager</v>
      </c>
      <c r="F664" s="12">
        <v>45871</v>
      </c>
      <c r="G664" s="8" cm="1">
        <f t="array" ref="G664">INDEX('Tabel Acuan'!$F$4:$F$39,
MATCH(1,('Tabel Acuan'!$D$4:$D$39='Data Gaji Pegawai'!D664)*('Tabel Acuan'!$E$4:$E$39='Data Gaji Pegawai'!E664),0))</f>
        <v>9800000</v>
      </c>
      <c r="H664">
        <f>I664/100000</f>
        <v>15</v>
      </c>
      <c r="I664" s="14">
        <v>1500000</v>
      </c>
      <c r="J664">
        <f ca="1">INT((TODAY()-F664)/30.417)</f>
        <v>10</v>
      </c>
      <c r="K664" s="13">
        <f t="shared" ca="1" si="10"/>
        <v>0</v>
      </c>
      <c r="L664" s="8">
        <f>G664*3.7%</f>
        <v>362600.00000000006</v>
      </c>
      <c r="M664" s="8">
        <f>G664*2%</f>
        <v>196000</v>
      </c>
      <c r="N664" s="8">
        <f>G664*4%</f>
        <v>392000</v>
      </c>
      <c r="O664" s="8">
        <f>G664*1%</f>
        <v>98000</v>
      </c>
      <c r="P664">
        <v>4</v>
      </c>
      <c r="Q664" s="13">
        <f>P664*200000</f>
        <v>800000</v>
      </c>
      <c r="R664" s="8">
        <v>1000000</v>
      </c>
      <c r="S664" s="9">
        <f>8%*G664</f>
        <v>784000</v>
      </c>
    </row>
    <row r="665" spans="1:19" x14ac:dyDescent="0.3">
      <c r="A665">
        <v>663</v>
      </c>
      <c r="B665" s="10" t="s">
        <v>1331</v>
      </c>
      <c r="C665" s="10" t="s">
        <v>1332</v>
      </c>
      <c r="D665" s="11" t="str">
        <f>VLOOKUP(MID(B665,6,1),'Tabel Acuan'!$A$10:$B$17,2,0)</f>
        <v>Logistics</v>
      </c>
      <c r="E665" t="str">
        <f>VLOOKUP(MID(B665,8,2),'Tabel Acuan'!$A$1:$B$6,2,0)</f>
        <v>Senior Staff</v>
      </c>
      <c r="F665" s="12">
        <v>45626</v>
      </c>
      <c r="G665" s="8" cm="1">
        <f t="array" ref="G665">INDEX('Tabel Acuan'!$F$4:$F$39,
MATCH(1,('Tabel Acuan'!$D$4:$D$39='Data Gaji Pegawai'!D665)*('Tabel Acuan'!$E$4:$E$39='Data Gaji Pegawai'!E665),0))</f>
        <v>6250000</v>
      </c>
      <c r="H665">
        <f>I665/100000</f>
        <v>8</v>
      </c>
      <c r="I665" s="14">
        <v>800000</v>
      </c>
      <c r="J665">
        <f ca="1">INT((TODAY()-F665)/30.417)</f>
        <v>19</v>
      </c>
      <c r="K665" s="13">
        <f t="shared" ca="1" si="10"/>
        <v>0</v>
      </c>
      <c r="L665" s="8">
        <f>G665*3.7%</f>
        <v>231250.00000000003</v>
      </c>
      <c r="M665" s="8">
        <f>G665*2%</f>
        <v>125000</v>
      </c>
      <c r="N665" s="8">
        <f>G665*4%</f>
        <v>250000</v>
      </c>
      <c r="O665" s="8">
        <f>G665*1%</f>
        <v>62500</v>
      </c>
      <c r="P665">
        <v>6</v>
      </c>
      <c r="Q665" s="13">
        <f>P665*200000</f>
        <v>1200000</v>
      </c>
      <c r="R665" s="8">
        <v>1000000</v>
      </c>
      <c r="S665" s="9">
        <f>8%*G665</f>
        <v>500000</v>
      </c>
    </row>
    <row r="666" spans="1:19" x14ac:dyDescent="0.3">
      <c r="A666">
        <v>664</v>
      </c>
      <c r="B666" s="10" t="s">
        <v>1333</v>
      </c>
      <c r="C666" s="10" t="s">
        <v>1334</v>
      </c>
      <c r="D666" s="11" t="str">
        <f>VLOOKUP(MID(B666,6,1),'Tabel Acuan'!$A$10:$B$17,2,0)</f>
        <v>Finance</v>
      </c>
      <c r="E666" t="str">
        <f>VLOOKUP(MID(B666,8,2),'Tabel Acuan'!$A$1:$B$6,2,0)</f>
        <v>Senior Staff</v>
      </c>
      <c r="F666" s="12">
        <v>45262</v>
      </c>
      <c r="G666" s="8" cm="1">
        <f t="array" ref="G666">INDEX('Tabel Acuan'!$F$4:$F$39,
MATCH(1,('Tabel Acuan'!$D$4:$D$39='Data Gaji Pegawai'!D666)*('Tabel Acuan'!$E$4:$E$39='Data Gaji Pegawai'!E666),0))</f>
        <v>6600000</v>
      </c>
      <c r="H666">
        <f>I666/100000</f>
        <v>59</v>
      </c>
      <c r="I666" s="14">
        <v>5900000</v>
      </c>
      <c r="J666">
        <f ca="1">INT((TODAY()-F666)/30.417)</f>
        <v>31</v>
      </c>
      <c r="K666" s="13">
        <f t="shared" ca="1" si="10"/>
        <v>0</v>
      </c>
      <c r="L666" s="8">
        <f>G666*3.7%</f>
        <v>244200.00000000003</v>
      </c>
      <c r="M666" s="8">
        <f>G666*2%</f>
        <v>132000</v>
      </c>
      <c r="N666" s="8">
        <f>G666*4%</f>
        <v>264000</v>
      </c>
      <c r="O666" s="8">
        <f>G666*1%</f>
        <v>66000</v>
      </c>
      <c r="P666">
        <v>5</v>
      </c>
      <c r="Q666" s="13">
        <f>P666*200000</f>
        <v>1000000</v>
      </c>
      <c r="R666" s="8">
        <v>0</v>
      </c>
      <c r="S666" s="9">
        <f>8%*G666</f>
        <v>528000</v>
      </c>
    </row>
    <row r="667" spans="1:19" x14ac:dyDescent="0.3">
      <c r="A667">
        <v>665</v>
      </c>
      <c r="B667" s="10" t="s">
        <v>1335</v>
      </c>
      <c r="C667" s="10" t="s">
        <v>1336</v>
      </c>
      <c r="D667" s="11" t="str">
        <f>VLOOKUP(MID(B667,6,1),'Tabel Acuan'!$A$10:$B$17,2,0)</f>
        <v>Marketing</v>
      </c>
      <c r="E667" t="str">
        <f>VLOOKUP(MID(B667,8,2),'Tabel Acuan'!$A$1:$B$6,2,0)</f>
        <v>Manager</v>
      </c>
      <c r="F667" s="12">
        <v>45089</v>
      </c>
      <c r="G667" s="8" cm="1">
        <f t="array" ref="G667">INDEX('Tabel Acuan'!$F$4:$F$39,
MATCH(1,('Tabel Acuan'!$D$4:$D$39='Data Gaji Pegawai'!D667)*('Tabel Acuan'!$E$4:$E$39='Data Gaji Pegawai'!E667),0))</f>
        <v>13000000</v>
      </c>
      <c r="H667">
        <f>I667/100000</f>
        <v>53</v>
      </c>
      <c r="I667" s="14">
        <v>5300000</v>
      </c>
      <c r="J667">
        <f ca="1">INT((TODAY()-F667)/30.417)</f>
        <v>36</v>
      </c>
      <c r="K667" s="13">
        <f t="shared" ca="1" si="10"/>
        <v>0</v>
      </c>
      <c r="L667" s="8">
        <f>G667*3.7%</f>
        <v>481000.00000000006</v>
      </c>
      <c r="M667" s="8">
        <f>G667*2%</f>
        <v>260000</v>
      </c>
      <c r="N667" s="8">
        <f>G667*4%</f>
        <v>520000</v>
      </c>
      <c r="O667" s="8">
        <f>G667*1%</f>
        <v>130000</v>
      </c>
      <c r="P667">
        <v>4</v>
      </c>
      <c r="Q667" s="13">
        <f>P667*200000</f>
        <v>800000</v>
      </c>
      <c r="R667" s="8">
        <v>5000000</v>
      </c>
      <c r="S667" s="9">
        <f>8%*G667</f>
        <v>1040000</v>
      </c>
    </row>
    <row r="668" spans="1:19" x14ac:dyDescent="0.3">
      <c r="A668">
        <v>666</v>
      </c>
      <c r="B668" s="10" t="s">
        <v>1337</v>
      </c>
      <c r="C668" s="10" t="s">
        <v>1338</v>
      </c>
      <c r="D668" s="11" t="str">
        <f>VLOOKUP(MID(B668,6,1),'Tabel Acuan'!$A$10:$B$17,2,0)</f>
        <v>Information Technology (IT)</v>
      </c>
      <c r="E668" t="str">
        <f>VLOOKUP(MID(B668,8,2),'Tabel Acuan'!$A$1:$B$6,2,0)</f>
        <v>Manager</v>
      </c>
      <c r="F668" s="12">
        <v>44157</v>
      </c>
      <c r="G668" s="8" cm="1">
        <f t="array" ref="G668">INDEX('Tabel Acuan'!$F$4:$F$39,
MATCH(1,('Tabel Acuan'!$D$4:$D$39='Data Gaji Pegawai'!D668)*('Tabel Acuan'!$E$4:$E$39='Data Gaji Pegawai'!E668),0))</f>
        <v>15000000</v>
      </c>
      <c r="H668">
        <f>I668/100000</f>
        <v>59</v>
      </c>
      <c r="I668" s="14">
        <v>5900000</v>
      </c>
      <c r="J668">
        <f ca="1">INT((TODAY()-F668)/30.417)</f>
        <v>67</v>
      </c>
      <c r="K668" s="13">
        <f t="shared" ca="1" si="10"/>
        <v>0</v>
      </c>
      <c r="L668" s="8">
        <f>G668*3.7%</f>
        <v>555000.00000000012</v>
      </c>
      <c r="M668" s="8">
        <f>G668*2%</f>
        <v>300000</v>
      </c>
      <c r="N668" s="8">
        <f>G668*4%</f>
        <v>600000</v>
      </c>
      <c r="O668" s="8">
        <f>G668*1%</f>
        <v>150000</v>
      </c>
      <c r="P668">
        <v>8</v>
      </c>
      <c r="Q668" s="13">
        <f>P668*200000</f>
        <v>1600000</v>
      </c>
      <c r="R668" s="8">
        <v>0</v>
      </c>
      <c r="S668" s="9">
        <f>8%*G668</f>
        <v>1200000</v>
      </c>
    </row>
    <row r="669" spans="1:19" x14ac:dyDescent="0.3">
      <c r="A669">
        <v>667</v>
      </c>
      <c r="B669" s="10" t="s">
        <v>1339</v>
      </c>
      <c r="C669" s="10" t="s">
        <v>1340</v>
      </c>
      <c r="D669" s="11" t="str">
        <f>VLOOKUP(MID(B669,6,1),'Tabel Acuan'!$A$10:$B$17,2,0)</f>
        <v>Human Resources (HR)</v>
      </c>
      <c r="E669" t="str">
        <f>VLOOKUP(MID(B669,8,2),'Tabel Acuan'!$A$1:$B$6,2,0)</f>
        <v>Staff</v>
      </c>
      <c r="F669" s="12">
        <v>43414</v>
      </c>
      <c r="G669" s="8" cm="1">
        <f t="array" ref="G669">INDEX('Tabel Acuan'!$F$4:$F$39,
MATCH(1,('Tabel Acuan'!$D$4:$D$39='Data Gaji Pegawai'!D669)*('Tabel Acuan'!$E$4:$E$39='Data Gaji Pegawai'!E669),0))</f>
        <v>5000000</v>
      </c>
      <c r="H669">
        <f>I669/100000</f>
        <v>39</v>
      </c>
      <c r="I669" s="14">
        <v>3900000</v>
      </c>
      <c r="J669">
        <f ca="1">INT((TODAY()-F669)/30.417)</f>
        <v>91</v>
      </c>
      <c r="K669" s="13">
        <f t="shared" ca="1" si="10"/>
        <v>0</v>
      </c>
      <c r="L669" s="8">
        <f>G669*3.7%</f>
        <v>185000.00000000003</v>
      </c>
      <c r="M669" s="8">
        <f>G669*2%</f>
        <v>100000</v>
      </c>
      <c r="N669" s="8">
        <f>G669*4%</f>
        <v>200000</v>
      </c>
      <c r="O669" s="8">
        <f>G669*1%</f>
        <v>50000</v>
      </c>
      <c r="P669">
        <v>8</v>
      </c>
      <c r="Q669" s="13">
        <f>P669*200000</f>
        <v>1600000</v>
      </c>
      <c r="R669" s="8">
        <v>3000000</v>
      </c>
      <c r="S669" s="9">
        <f>8%*G669</f>
        <v>400000</v>
      </c>
    </row>
    <row r="670" spans="1:19" x14ac:dyDescent="0.3">
      <c r="A670">
        <v>668</v>
      </c>
      <c r="B670" s="10" t="s">
        <v>1341</v>
      </c>
      <c r="C670" s="10" t="s">
        <v>1342</v>
      </c>
      <c r="D670" s="11" t="str">
        <f>VLOOKUP(MID(B670,6,1),'Tabel Acuan'!$A$10:$B$17,2,0)</f>
        <v>Marketing</v>
      </c>
      <c r="E670" t="str">
        <f>VLOOKUP(MID(B670,8,2),'Tabel Acuan'!$A$1:$B$6,2,0)</f>
        <v>Staff</v>
      </c>
      <c r="F670" s="12">
        <v>43284</v>
      </c>
      <c r="G670" s="8" cm="1">
        <f t="array" ref="G670">INDEX('Tabel Acuan'!$F$4:$F$39,
MATCH(1,('Tabel Acuan'!$D$4:$D$39='Data Gaji Pegawai'!D670)*('Tabel Acuan'!$E$4:$E$39='Data Gaji Pegawai'!E670),0))</f>
        <v>5300000</v>
      </c>
      <c r="H670">
        <f>I670/100000</f>
        <v>5</v>
      </c>
      <c r="I670" s="14">
        <v>500000</v>
      </c>
      <c r="J670">
        <f ca="1">INT((TODAY()-F670)/30.417)</f>
        <v>96</v>
      </c>
      <c r="K670" s="13">
        <f t="shared" ca="1" si="10"/>
        <v>0</v>
      </c>
      <c r="L670" s="8">
        <f>G670*3.7%</f>
        <v>196100.00000000003</v>
      </c>
      <c r="M670" s="8">
        <f>G670*2%</f>
        <v>106000</v>
      </c>
      <c r="N670" s="8">
        <f>G670*4%</f>
        <v>212000</v>
      </c>
      <c r="O670" s="8">
        <f>G670*1%</f>
        <v>53000</v>
      </c>
      <c r="P670">
        <v>15</v>
      </c>
      <c r="Q670" s="13">
        <f>P670*200000</f>
        <v>3000000</v>
      </c>
      <c r="R670" s="8">
        <v>0</v>
      </c>
      <c r="S670" s="9">
        <f>8%*G670</f>
        <v>424000</v>
      </c>
    </row>
    <row r="671" spans="1:19" x14ac:dyDescent="0.3">
      <c r="A671">
        <v>669</v>
      </c>
      <c r="B671" s="10" t="s">
        <v>1343</v>
      </c>
      <c r="C671" s="10" t="s">
        <v>1344</v>
      </c>
      <c r="D671" s="11" t="str">
        <f>VLOOKUP(MID(B671,6,1),'Tabel Acuan'!$A$10:$B$17,2,0)</f>
        <v>Information Technology (IT)</v>
      </c>
      <c r="E671" t="str">
        <f>VLOOKUP(MID(B671,8,2),'Tabel Acuan'!$A$1:$B$6,2,0)</f>
        <v>Supervisor</v>
      </c>
      <c r="F671" s="12">
        <v>45490</v>
      </c>
      <c r="G671" s="8" cm="1">
        <f t="array" ref="G671">INDEX('Tabel Acuan'!$F$4:$F$39,
MATCH(1,('Tabel Acuan'!$D$4:$D$39='Data Gaji Pegawai'!D671)*('Tabel Acuan'!$E$4:$E$39='Data Gaji Pegawai'!E671),0))</f>
        <v>9000000</v>
      </c>
      <c r="H671">
        <f>I671/100000</f>
        <v>31</v>
      </c>
      <c r="I671" s="14">
        <v>3100000</v>
      </c>
      <c r="J671">
        <f ca="1">INT((TODAY()-F671)/30.417)</f>
        <v>23</v>
      </c>
      <c r="K671" s="13">
        <f t="shared" ca="1" si="10"/>
        <v>0</v>
      </c>
      <c r="L671" s="8">
        <f>G671*3.7%</f>
        <v>333000.00000000006</v>
      </c>
      <c r="M671" s="8">
        <f>G671*2%</f>
        <v>180000</v>
      </c>
      <c r="N671" s="8">
        <f>G671*4%</f>
        <v>360000</v>
      </c>
      <c r="O671" s="8">
        <f>G671*1%</f>
        <v>90000</v>
      </c>
      <c r="P671">
        <v>15</v>
      </c>
      <c r="Q671" s="13">
        <f>P671*200000</f>
        <v>3000000</v>
      </c>
      <c r="R671" s="8">
        <v>0</v>
      </c>
      <c r="S671" s="9">
        <f>8%*G671</f>
        <v>720000</v>
      </c>
    </row>
    <row r="672" spans="1:19" x14ac:dyDescent="0.3">
      <c r="A672">
        <v>670</v>
      </c>
      <c r="B672" s="10" t="s">
        <v>1345</v>
      </c>
      <c r="C672" s="10" t="s">
        <v>1346</v>
      </c>
      <c r="D672" s="11" t="str">
        <f>VLOOKUP(MID(B672,6,1),'Tabel Acuan'!$A$10:$B$17,2,0)</f>
        <v>Finance</v>
      </c>
      <c r="E672" t="str">
        <f>VLOOKUP(MID(B672,8,2),'Tabel Acuan'!$A$1:$B$6,2,0)</f>
        <v>Staff</v>
      </c>
      <c r="F672" s="12">
        <v>43239</v>
      </c>
      <c r="G672" s="8" cm="1">
        <f t="array" ref="G672">INDEX('Tabel Acuan'!$F$4:$F$39,
MATCH(1,('Tabel Acuan'!$D$4:$D$39='Data Gaji Pegawai'!D672)*('Tabel Acuan'!$E$4:$E$39='Data Gaji Pegawai'!E672),0))</f>
        <v>5500000</v>
      </c>
      <c r="H672">
        <f>I672/100000</f>
        <v>60</v>
      </c>
      <c r="I672" s="14">
        <v>6000000</v>
      </c>
      <c r="J672">
        <f ca="1">INT((TODAY()-F672)/30.417)</f>
        <v>97</v>
      </c>
      <c r="K672" s="13">
        <f t="shared" ca="1" si="10"/>
        <v>0</v>
      </c>
      <c r="L672" s="8">
        <f>G672*3.7%</f>
        <v>203500.00000000003</v>
      </c>
      <c r="M672" s="8">
        <f>G672*2%</f>
        <v>110000</v>
      </c>
      <c r="N672" s="8">
        <f>G672*4%</f>
        <v>220000</v>
      </c>
      <c r="O672" s="8">
        <f>G672*1%</f>
        <v>55000</v>
      </c>
      <c r="P672">
        <v>13</v>
      </c>
      <c r="Q672" s="13">
        <f>P672*200000</f>
        <v>2600000</v>
      </c>
      <c r="R672" s="8">
        <v>0</v>
      </c>
      <c r="S672" s="9">
        <f>8%*G672</f>
        <v>440000</v>
      </c>
    </row>
    <row r="673" spans="1:19" x14ac:dyDescent="0.3">
      <c r="A673">
        <v>671</v>
      </c>
      <c r="B673" s="10" t="s">
        <v>1347</v>
      </c>
      <c r="C673" s="10" t="s">
        <v>1348</v>
      </c>
      <c r="D673" s="11" t="str">
        <f>VLOOKUP(MID(B673,6,1),'Tabel Acuan'!$A$10:$B$17,2,0)</f>
        <v>Finance</v>
      </c>
      <c r="E673" t="str">
        <f>VLOOKUP(MID(B673,8,2),'Tabel Acuan'!$A$1:$B$6,2,0)</f>
        <v>Supervisor</v>
      </c>
      <c r="F673" s="12">
        <v>45882</v>
      </c>
      <c r="G673" s="8" cm="1">
        <f t="array" ref="G673">INDEX('Tabel Acuan'!$F$4:$F$39,
MATCH(1,('Tabel Acuan'!$D$4:$D$39='Data Gaji Pegawai'!D673)*('Tabel Acuan'!$E$4:$E$39='Data Gaji Pegawai'!E673),0))</f>
        <v>8000000</v>
      </c>
      <c r="H673">
        <f>I673/100000</f>
        <v>55</v>
      </c>
      <c r="I673" s="14">
        <v>5500000</v>
      </c>
      <c r="J673">
        <f ca="1">INT((TODAY()-F673)/30.417)</f>
        <v>10</v>
      </c>
      <c r="K673" s="13">
        <f t="shared" ca="1" si="10"/>
        <v>0</v>
      </c>
      <c r="L673" s="8">
        <f>G673*3.7%</f>
        <v>296000.00000000006</v>
      </c>
      <c r="M673" s="8">
        <f>G673*2%</f>
        <v>160000</v>
      </c>
      <c r="N673" s="8">
        <f>G673*4%</f>
        <v>320000</v>
      </c>
      <c r="O673" s="8">
        <f>G673*1%</f>
        <v>80000</v>
      </c>
      <c r="P673">
        <v>15</v>
      </c>
      <c r="Q673" s="13">
        <f>P673*200000</f>
        <v>3000000</v>
      </c>
      <c r="R673" s="8">
        <v>2000000</v>
      </c>
      <c r="S673" s="9">
        <f>8%*G673</f>
        <v>640000</v>
      </c>
    </row>
    <row r="674" spans="1:19" x14ac:dyDescent="0.3">
      <c r="A674">
        <v>672</v>
      </c>
      <c r="B674" s="10" t="s">
        <v>1349</v>
      </c>
      <c r="C674" s="10" t="s">
        <v>1350</v>
      </c>
      <c r="D674" s="11" t="str">
        <f>VLOOKUP(MID(B674,6,1),'Tabel Acuan'!$A$10:$B$17,2,0)</f>
        <v>Information Technology (IT)</v>
      </c>
      <c r="E674" t="str">
        <f>VLOOKUP(MID(B674,8,2),'Tabel Acuan'!$A$1:$B$6,2,0)</f>
        <v>Senior Staff</v>
      </c>
      <c r="F674" s="12">
        <v>43295</v>
      </c>
      <c r="G674" s="8" cm="1">
        <f t="array" ref="G674">INDEX('Tabel Acuan'!$F$4:$F$39,
MATCH(1,('Tabel Acuan'!$D$4:$D$39='Data Gaji Pegawai'!D674)*('Tabel Acuan'!$E$4:$E$39='Data Gaji Pegawai'!E674),0))</f>
        <v>7500000</v>
      </c>
      <c r="H674">
        <f>I674/100000</f>
        <v>46</v>
      </c>
      <c r="I674" s="14">
        <v>4600000</v>
      </c>
      <c r="J674">
        <f ca="1">INT((TODAY()-F674)/30.417)</f>
        <v>95</v>
      </c>
      <c r="K674" s="13">
        <f t="shared" ca="1" si="10"/>
        <v>0</v>
      </c>
      <c r="L674" s="8">
        <f>G674*3.7%</f>
        <v>277500.00000000006</v>
      </c>
      <c r="M674" s="8">
        <f>G674*2%</f>
        <v>150000</v>
      </c>
      <c r="N674" s="8">
        <f>G674*4%</f>
        <v>300000</v>
      </c>
      <c r="O674" s="8">
        <f>G674*1%</f>
        <v>75000</v>
      </c>
      <c r="P674">
        <v>10</v>
      </c>
      <c r="Q674" s="13">
        <f>P674*200000</f>
        <v>2000000</v>
      </c>
      <c r="R674" s="8">
        <v>4000000</v>
      </c>
      <c r="S674" s="9">
        <f>8%*G674</f>
        <v>600000</v>
      </c>
    </row>
    <row r="675" spans="1:19" x14ac:dyDescent="0.3">
      <c r="A675">
        <v>673</v>
      </c>
      <c r="B675" s="10" t="s">
        <v>1351</v>
      </c>
      <c r="C675" s="10" t="s">
        <v>1352</v>
      </c>
      <c r="D675" s="11" t="str">
        <f>VLOOKUP(MID(B675,6,1),'Tabel Acuan'!$A$10:$B$17,2,0)</f>
        <v>Marketing</v>
      </c>
      <c r="E675" t="str">
        <f>VLOOKUP(MID(B675,8,2),'Tabel Acuan'!$A$1:$B$6,2,0)</f>
        <v>Senior Staff</v>
      </c>
      <c r="F675" s="12">
        <v>45311</v>
      </c>
      <c r="G675" s="8" cm="1">
        <f t="array" ref="G675">INDEX('Tabel Acuan'!$F$4:$F$39,
MATCH(1,('Tabel Acuan'!$D$4:$D$39='Data Gaji Pegawai'!D675)*('Tabel Acuan'!$E$4:$E$39='Data Gaji Pegawai'!E675),0))</f>
        <v>6400000</v>
      </c>
      <c r="H675">
        <f>I675/100000</f>
        <v>33</v>
      </c>
      <c r="I675" s="14">
        <v>3300000</v>
      </c>
      <c r="J675">
        <f ca="1">INT((TODAY()-F675)/30.417)</f>
        <v>29</v>
      </c>
      <c r="K675" s="13">
        <f t="shared" ca="1" si="10"/>
        <v>0</v>
      </c>
      <c r="L675" s="8">
        <f>G675*3.7%</f>
        <v>236800.00000000003</v>
      </c>
      <c r="M675" s="8">
        <f>G675*2%</f>
        <v>128000</v>
      </c>
      <c r="N675" s="8">
        <f>G675*4%</f>
        <v>256000</v>
      </c>
      <c r="O675" s="8">
        <f>G675*1%</f>
        <v>64000</v>
      </c>
      <c r="P675">
        <v>3</v>
      </c>
      <c r="Q675" s="13">
        <f>P675*200000</f>
        <v>600000</v>
      </c>
      <c r="R675" s="8">
        <v>250000</v>
      </c>
      <c r="S675" s="9">
        <f>8%*G675</f>
        <v>512000</v>
      </c>
    </row>
    <row r="676" spans="1:19" x14ac:dyDescent="0.3">
      <c r="A676">
        <v>674</v>
      </c>
      <c r="B676" s="10" t="s">
        <v>1353</v>
      </c>
      <c r="C676" s="10" t="s">
        <v>1354</v>
      </c>
      <c r="D676" s="11" t="str">
        <f>VLOOKUP(MID(B676,6,1),'Tabel Acuan'!$A$10:$B$17,2,0)</f>
        <v>Marketing</v>
      </c>
      <c r="E676" t="str">
        <f>VLOOKUP(MID(B676,8,2),'Tabel Acuan'!$A$1:$B$6,2,0)</f>
        <v>Senior Staff</v>
      </c>
      <c r="F676" s="12">
        <v>43386</v>
      </c>
      <c r="G676" s="8" cm="1">
        <f t="array" ref="G676">INDEX('Tabel Acuan'!$F$4:$F$39,
MATCH(1,('Tabel Acuan'!$D$4:$D$39='Data Gaji Pegawai'!D676)*('Tabel Acuan'!$E$4:$E$39='Data Gaji Pegawai'!E676),0))</f>
        <v>6400000</v>
      </c>
      <c r="H676">
        <f>I676/100000</f>
        <v>24</v>
      </c>
      <c r="I676" s="14">
        <v>2400000</v>
      </c>
      <c r="J676">
        <f ca="1">INT((TODAY()-F676)/30.417)</f>
        <v>92</v>
      </c>
      <c r="K676" s="13">
        <f t="shared" ca="1" si="10"/>
        <v>0</v>
      </c>
      <c r="L676" s="8">
        <f>G676*3.7%</f>
        <v>236800.00000000003</v>
      </c>
      <c r="M676" s="8">
        <f>G676*2%</f>
        <v>128000</v>
      </c>
      <c r="N676" s="8">
        <f>G676*4%</f>
        <v>256000</v>
      </c>
      <c r="O676" s="8">
        <f>G676*1%</f>
        <v>64000</v>
      </c>
      <c r="P676">
        <v>1</v>
      </c>
      <c r="Q676" s="13">
        <f>P676*200000</f>
        <v>200000</v>
      </c>
      <c r="R676" s="8">
        <v>0</v>
      </c>
      <c r="S676" s="9">
        <f>8%*G676</f>
        <v>512000</v>
      </c>
    </row>
    <row r="677" spans="1:19" x14ac:dyDescent="0.3">
      <c r="A677">
        <v>675</v>
      </c>
      <c r="B677" s="10" t="s">
        <v>1355</v>
      </c>
      <c r="C677" s="10" t="s">
        <v>1198</v>
      </c>
      <c r="D677" s="11" t="str">
        <f>VLOOKUP(MID(B677,6,1),'Tabel Acuan'!$A$10:$B$17,2,0)</f>
        <v>Information Technology (IT)</v>
      </c>
      <c r="E677" t="str">
        <f>VLOOKUP(MID(B677,8,2),'Tabel Acuan'!$A$1:$B$6,2,0)</f>
        <v>Assistant Manager</v>
      </c>
      <c r="F677" s="12">
        <v>44798</v>
      </c>
      <c r="G677" s="8" cm="1">
        <f t="array" ref="G677">INDEX('Tabel Acuan'!$F$4:$F$39,
MATCH(1,('Tabel Acuan'!$D$4:$D$39='Data Gaji Pegawai'!D677)*('Tabel Acuan'!$E$4:$E$39='Data Gaji Pegawai'!E677),0))</f>
        <v>11500000</v>
      </c>
      <c r="H677">
        <f>I677/100000</f>
        <v>10</v>
      </c>
      <c r="I677" s="14">
        <v>1000000</v>
      </c>
      <c r="J677">
        <f ca="1">INT((TODAY()-F677)/30.417)</f>
        <v>46</v>
      </c>
      <c r="K677" s="13">
        <f t="shared" ca="1" si="10"/>
        <v>0</v>
      </c>
      <c r="L677" s="8">
        <f>G677*3.7%</f>
        <v>425500.00000000006</v>
      </c>
      <c r="M677" s="8">
        <f>G677*2%</f>
        <v>230000</v>
      </c>
      <c r="N677" s="8">
        <f>G677*4%</f>
        <v>460000</v>
      </c>
      <c r="O677" s="8">
        <f>G677*1%</f>
        <v>115000</v>
      </c>
      <c r="P677">
        <v>13</v>
      </c>
      <c r="Q677" s="13">
        <f>P677*200000</f>
        <v>2600000</v>
      </c>
      <c r="R677" s="8">
        <v>0</v>
      </c>
      <c r="S677" s="9">
        <f>8%*G677</f>
        <v>920000</v>
      </c>
    </row>
    <row r="678" spans="1:19" x14ac:dyDescent="0.3">
      <c r="A678">
        <v>676</v>
      </c>
      <c r="B678" s="10" t="s">
        <v>1356</v>
      </c>
      <c r="C678" s="10" t="s">
        <v>1357</v>
      </c>
      <c r="D678" s="11" t="str">
        <f>VLOOKUP(MID(B678,6,1),'Tabel Acuan'!$A$10:$B$17,2,0)</f>
        <v>Sales</v>
      </c>
      <c r="E678" t="str">
        <f>VLOOKUP(MID(B678,8,2),'Tabel Acuan'!$A$1:$B$6,2,0)</f>
        <v>Senior Staff</v>
      </c>
      <c r="F678" s="12">
        <v>42335</v>
      </c>
      <c r="G678" s="8" cm="1">
        <f t="array" ref="G678">INDEX('Tabel Acuan'!$F$4:$F$39,
MATCH(1,('Tabel Acuan'!$D$4:$D$39='Data Gaji Pegawai'!D678)*('Tabel Acuan'!$E$4:$E$39='Data Gaji Pegawai'!E678),0))</f>
        <v>6000000</v>
      </c>
      <c r="H678">
        <f>I678/100000</f>
        <v>28</v>
      </c>
      <c r="I678" s="14">
        <v>2800000</v>
      </c>
      <c r="J678">
        <f ca="1">INT((TODAY()-F678)/30.417)</f>
        <v>127</v>
      </c>
      <c r="K678" s="13">
        <f t="shared" ca="1" si="10"/>
        <v>0</v>
      </c>
      <c r="L678" s="8">
        <f>G678*3.7%</f>
        <v>222000.00000000003</v>
      </c>
      <c r="M678" s="8">
        <f>G678*2%</f>
        <v>120000</v>
      </c>
      <c r="N678" s="8">
        <f>G678*4%</f>
        <v>240000</v>
      </c>
      <c r="O678" s="8">
        <f>G678*1%</f>
        <v>60000</v>
      </c>
      <c r="P678">
        <v>2</v>
      </c>
      <c r="Q678" s="13">
        <f>P678*200000</f>
        <v>400000</v>
      </c>
      <c r="R678" s="8">
        <v>300000</v>
      </c>
      <c r="S678" s="9">
        <f>8%*G678</f>
        <v>480000</v>
      </c>
    </row>
    <row r="679" spans="1:19" x14ac:dyDescent="0.3">
      <c r="A679">
        <v>677</v>
      </c>
      <c r="B679" s="10" t="s">
        <v>1358</v>
      </c>
      <c r="C679" s="10" t="s">
        <v>1359</v>
      </c>
      <c r="D679" s="11" t="str">
        <f>VLOOKUP(MID(B679,6,1),'Tabel Acuan'!$A$10:$B$17,2,0)</f>
        <v>Operations</v>
      </c>
      <c r="E679" t="str">
        <f>VLOOKUP(MID(B679,8,2),'Tabel Acuan'!$A$1:$B$6,2,0)</f>
        <v>Senior Staff</v>
      </c>
      <c r="F679" s="12">
        <v>42805</v>
      </c>
      <c r="G679" s="8" cm="1">
        <f t="array" ref="G679">INDEX('Tabel Acuan'!$F$4:$F$39,
MATCH(1,('Tabel Acuan'!$D$4:$D$39='Data Gaji Pegawai'!D679)*('Tabel Acuan'!$E$4:$E$39='Data Gaji Pegawai'!E679),0))</f>
        <v>6300000</v>
      </c>
      <c r="H679">
        <f>I679/100000</f>
        <v>25</v>
      </c>
      <c r="I679" s="14">
        <v>2500000</v>
      </c>
      <c r="J679">
        <f ca="1">INT((TODAY()-F679)/30.417)</f>
        <v>111</v>
      </c>
      <c r="K679" s="13">
        <f t="shared" ca="1" si="10"/>
        <v>0</v>
      </c>
      <c r="L679" s="8">
        <f>G679*3.7%</f>
        <v>233100.00000000003</v>
      </c>
      <c r="M679" s="8">
        <f>G679*2%</f>
        <v>126000</v>
      </c>
      <c r="N679" s="8">
        <f>G679*4%</f>
        <v>252000</v>
      </c>
      <c r="O679" s="8">
        <f>G679*1%</f>
        <v>63000</v>
      </c>
      <c r="P679">
        <v>13</v>
      </c>
      <c r="Q679" s="13">
        <f>P679*200000</f>
        <v>2600000</v>
      </c>
      <c r="R679" s="8">
        <v>0</v>
      </c>
      <c r="S679" s="9">
        <f>8%*G679</f>
        <v>504000</v>
      </c>
    </row>
    <row r="680" spans="1:19" x14ac:dyDescent="0.3">
      <c r="A680">
        <v>678</v>
      </c>
      <c r="B680" s="10" t="s">
        <v>1360</v>
      </c>
      <c r="C680" s="10" t="s">
        <v>1361</v>
      </c>
      <c r="D680" s="11" t="str">
        <f>VLOOKUP(MID(B680,6,1),'Tabel Acuan'!$A$10:$B$17,2,0)</f>
        <v>Finance</v>
      </c>
      <c r="E680" t="str">
        <f>VLOOKUP(MID(B680,8,2),'Tabel Acuan'!$A$1:$B$6,2,0)</f>
        <v>Senior Staff</v>
      </c>
      <c r="F680" s="12">
        <v>42237</v>
      </c>
      <c r="G680" s="8" cm="1">
        <f t="array" ref="G680">INDEX('Tabel Acuan'!$F$4:$F$39,
MATCH(1,('Tabel Acuan'!$D$4:$D$39='Data Gaji Pegawai'!D680)*('Tabel Acuan'!$E$4:$E$39='Data Gaji Pegawai'!E680),0))</f>
        <v>6600000</v>
      </c>
      <c r="H680">
        <f>I680/100000</f>
        <v>5</v>
      </c>
      <c r="I680" s="14">
        <v>500000</v>
      </c>
      <c r="J680">
        <f ca="1">INT((TODAY()-F680)/30.417)</f>
        <v>130</v>
      </c>
      <c r="K680" s="13">
        <f t="shared" ca="1" si="10"/>
        <v>0</v>
      </c>
      <c r="L680" s="8">
        <f>G680*3.7%</f>
        <v>244200.00000000003</v>
      </c>
      <c r="M680" s="8">
        <f>G680*2%</f>
        <v>132000</v>
      </c>
      <c r="N680" s="8">
        <f>G680*4%</f>
        <v>264000</v>
      </c>
      <c r="O680" s="8">
        <f>G680*1%</f>
        <v>66000</v>
      </c>
      <c r="P680">
        <v>8</v>
      </c>
      <c r="Q680" s="13">
        <f>P680*200000</f>
        <v>1600000</v>
      </c>
      <c r="R680" s="8">
        <v>0</v>
      </c>
      <c r="S680" s="9">
        <f>8%*G680</f>
        <v>528000</v>
      </c>
    </row>
    <row r="681" spans="1:19" x14ac:dyDescent="0.3">
      <c r="A681">
        <v>679</v>
      </c>
      <c r="B681" s="10" t="s">
        <v>1362</v>
      </c>
      <c r="C681" s="10" t="s">
        <v>1363</v>
      </c>
      <c r="D681" s="11" t="str">
        <f>VLOOKUP(MID(B681,6,1),'Tabel Acuan'!$A$10:$B$17,2,0)</f>
        <v>Sales</v>
      </c>
      <c r="E681" t="str">
        <f>VLOOKUP(MID(B681,8,2),'Tabel Acuan'!$A$1:$B$6,2,0)</f>
        <v>Supervisor</v>
      </c>
      <c r="F681" s="12">
        <v>45721</v>
      </c>
      <c r="G681" s="8" cm="1">
        <f t="array" ref="G681">INDEX('Tabel Acuan'!$F$4:$F$39,
MATCH(1,('Tabel Acuan'!$D$4:$D$39='Data Gaji Pegawai'!D681)*('Tabel Acuan'!$E$4:$E$39='Data Gaji Pegawai'!E681),0))</f>
        <v>7500000</v>
      </c>
      <c r="H681">
        <f>I681/100000</f>
        <v>5</v>
      </c>
      <c r="I681" s="14">
        <v>500000</v>
      </c>
      <c r="J681">
        <f ca="1">INT((TODAY()-F681)/30.417)</f>
        <v>15</v>
      </c>
      <c r="K681" s="13">
        <f t="shared" ca="1" si="10"/>
        <v>0</v>
      </c>
      <c r="L681" s="8">
        <f>G681*3.7%</f>
        <v>277500.00000000006</v>
      </c>
      <c r="M681" s="8">
        <f>G681*2%</f>
        <v>150000</v>
      </c>
      <c r="N681" s="8">
        <f>G681*4%</f>
        <v>300000</v>
      </c>
      <c r="O681" s="8">
        <f>G681*1%</f>
        <v>75000</v>
      </c>
      <c r="P681">
        <v>3</v>
      </c>
      <c r="Q681" s="13">
        <f>P681*200000</f>
        <v>600000</v>
      </c>
      <c r="R681" s="8">
        <v>3500000</v>
      </c>
      <c r="S681" s="9">
        <f>8%*G681</f>
        <v>600000</v>
      </c>
    </row>
    <row r="682" spans="1:19" x14ac:dyDescent="0.3">
      <c r="A682">
        <v>680</v>
      </c>
      <c r="B682" s="10" t="s">
        <v>1364</v>
      </c>
      <c r="C682" s="10" t="s">
        <v>1365</v>
      </c>
      <c r="D682" s="11" t="str">
        <f>VLOOKUP(MID(B682,6,1),'Tabel Acuan'!$A$10:$B$17,2,0)</f>
        <v>Human Resources (HR)</v>
      </c>
      <c r="E682" t="str">
        <f>VLOOKUP(MID(B682,8,2),'Tabel Acuan'!$A$1:$B$6,2,0)</f>
        <v>Senior Staff</v>
      </c>
      <c r="F682" s="12">
        <v>44092</v>
      </c>
      <c r="G682" s="8" cm="1">
        <f t="array" ref="G682">INDEX('Tabel Acuan'!$F$4:$F$39,
MATCH(1,('Tabel Acuan'!$D$4:$D$39='Data Gaji Pegawai'!D682)*('Tabel Acuan'!$E$4:$E$39='Data Gaji Pegawai'!E682),0))</f>
        <v>6000000</v>
      </c>
      <c r="H682">
        <f>I682/100000</f>
        <v>39</v>
      </c>
      <c r="I682" s="14">
        <v>3900000</v>
      </c>
      <c r="J682">
        <f ca="1">INT((TODAY()-F682)/30.417)</f>
        <v>69</v>
      </c>
      <c r="K682" s="13">
        <f t="shared" ca="1" si="10"/>
        <v>0</v>
      </c>
      <c r="L682" s="8">
        <f>G682*3.7%</f>
        <v>222000.00000000003</v>
      </c>
      <c r="M682" s="8">
        <f>G682*2%</f>
        <v>120000</v>
      </c>
      <c r="N682" s="8">
        <f>G682*4%</f>
        <v>240000</v>
      </c>
      <c r="O682" s="8">
        <f>G682*1%</f>
        <v>60000</v>
      </c>
      <c r="P682">
        <v>5</v>
      </c>
      <c r="Q682" s="13">
        <f>P682*200000</f>
        <v>1000000</v>
      </c>
      <c r="R682" s="8">
        <v>1500000</v>
      </c>
      <c r="S682" s="9">
        <f>8%*G682</f>
        <v>480000</v>
      </c>
    </row>
    <row r="683" spans="1:19" x14ac:dyDescent="0.3">
      <c r="A683">
        <v>681</v>
      </c>
      <c r="B683" s="10" t="s">
        <v>1366</v>
      </c>
      <c r="C683" s="10" t="s">
        <v>637</v>
      </c>
      <c r="D683" s="11" t="str">
        <f>VLOOKUP(MID(B683,6,1),'Tabel Acuan'!$A$10:$B$17,2,0)</f>
        <v>Operations</v>
      </c>
      <c r="E683" t="str">
        <f>VLOOKUP(MID(B683,8,2),'Tabel Acuan'!$A$1:$B$6,2,0)</f>
        <v>Staff</v>
      </c>
      <c r="F683" s="12">
        <v>42342</v>
      </c>
      <c r="G683" s="8" cm="1">
        <f t="array" ref="G683">INDEX('Tabel Acuan'!$F$4:$F$39,
MATCH(1,('Tabel Acuan'!$D$4:$D$39='Data Gaji Pegawai'!D683)*('Tabel Acuan'!$E$4:$E$39='Data Gaji Pegawai'!E683),0))</f>
        <v>5200000</v>
      </c>
      <c r="H683">
        <f>I683/100000</f>
        <v>55</v>
      </c>
      <c r="I683" s="14">
        <v>5500000</v>
      </c>
      <c r="J683">
        <f ca="1">INT((TODAY()-F683)/30.417)</f>
        <v>127</v>
      </c>
      <c r="K683" s="13">
        <f t="shared" ca="1" si="10"/>
        <v>0</v>
      </c>
      <c r="L683" s="8">
        <f>G683*3.7%</f>
        <v>192400.00000000003</v>
      </c>
      <c r="M683" s="8">
        <f>G683*2%</f>
        <v>104000</v>
      </c>
      <c r="N683" s="8">
        <f>G683*4%</f>
        <v>208000</v>
      </c>
      <c r="O683" s="8">
        <f>G683*1%</f>
        <v>52000</v>
      </c>
      <c r="P683">
        <v>4</v>
      </c>
      <c r="Q683" s="13">
        <f>P683*200000</f>
        <v>800000</v>
      </c>
      <c r="R683" s="8">
        <v>0</v>
      </c>
      <c r="S683" s="9">
        <f>8%*G683</f>
        <v>416000</v>
      </c>
    </row>
    <row r="684" spans="1:19" x14ac:dyDescent="0.3">
      <c r="A684">
        <v>682</v>
      </c>
      <c r="B684" s="10" t="s">
        <v>1367</v>
      </c>
      <c r="C684" s="10" t="s">
        <v>1368</v>
      </c>
      <c r="D684" s="11" t="str">
        <f>VLOOKUP(MID(B684,6,1),'Tabel Acuan'!$A$10:$B$17,2,0)</f>
        <v>Finance</v>
      </c>
      <c r="E684" t="str">
        <f>VLOOKUP(MID(B684,8,2),'Tabel Acuan'!$A$1:$B$6,2,0)</f>
        <v>Supervisor</v>
      </c>
      <c r="F684" s="12">
        <v>42893</v>
      </c>
      <c r="G684" s="8" cm="1">
        <f t="array" ref="G684">INDEX('Tabel Acuan'!$F$4:$F$39,
MATCH(1,('Tabel Acuan'!$D$4:$D$39='Data Gaji Pegawai'!D684)*('Tabel Acuan'!$E$4:$E$39='Data Gaji Pegawai'!E684),0))</f>
        <v>8000000</v>
      </c>
      <c r="H684">
        <f>I684/100000</f>
        <v>19</v>
      </c>
      <c r="I684" s="14">
        <v>1900000</v>
      </c>
      <c r="J684">
        <f ca="1">INT((TODAY()-F684)/30.417)</f>
        <v>108</v>
      </c>
      <c r="K684" s="13">
        <f t="shared" ca="1" si="10"/>
        <v>0</v>
      </c>
      <c r="L684" s="8">
        <f>G684*3.7%</f>
        <v>296000.00000000006</v>
      </c>
      <c r="M684" s="8">
        <f>G684*2%</f>
        <v>160000</v>
      </c>
      <c r="N684" s="8">
        <f>G684*4%</f>
        <v>320000</v>
      </c>
      <c r="O684" s="8">
        <f>G684*1%</f>
        <v>80000</v>
      </c>
      <c r="P684">
        <v>14</v>
      </c>
      <c r="Q684" s="13">
        <f>P684*200000</f>
        <v>2800000</v>
      </c>
      <c r="R684" s="8">
        <v>0</v>
      </c>
      <c r="S684" s="9">
        <f>8%*G684</f>
        <v>640000</v>
      </c>
    </row>
    <row r="685" spans="1:19" x14ac:dyDescent="0.3">
      <c r="A685">
        <v>683</v>
      </c>
      <c r="B685" s="10" t="s">
        <v>1369</v>
      </c>
      <c r="C685" s="10" t="s">
        <v>1370</v>
      </c>
      <c r="D685" s="11" t="str">
        <f>VLOOKUP(MID(B685,6,1),'Tabel Acuan'!$A$10:$B$17,2,0)</f>
        <v>Human Resources (HR)</v>
      </c>
      <c r="E685" t="str">
        <f>VLOOKUP(MID(B685,8,2),'Tabel Acuan'!$A$1:$B$6,2,0)</f>
        <v>Assistant Manager</v>
      </c>
      <c r="F685" s="12">
        <v>43054</v>
      </c>
      <c r="G685" s="8" cm="1">
        <f t="array" ref="G685">INDEX('Tabel Acuan'!$F$4:$F$39,
MATCH(1,('Tabel Acuan'!$D$4:$D$39='Data Gaji Pegawai'!D685)*('Tabel Acuan'!$E$4:$E$39='Data Gaji Pegawai'!E685),0))</f>
        <v>9000000</v>
      </c>
      <c r="H685">
        <f>I685/100000</f>
        <v>48</v>
      </c>
      <c r="I685" s="14">
        <v>4800000</v>
      </c>
      <c r="J685">
        <f ca="1">INT((TODAY()-F685)/30.417)</f>
        <v>103</v>
      </c>
      <c r="K685" s="13">
        <f t="shared" ca="1" si="10"/>
        <v>0</v>
      </c>
      <c r="L685" s="8">
        <f>G685*3.7%</f>
        <v>333000.00000000006</v>
      </c>
      <c r="M685" s="8">
        <f>G685*2%</f>
        <v>180000</v>
      </c>
      <c r="N685" s="8">
        <f>G685*4%</f>
        <v>360000</v>
      </c>
      <c r="O685" s="8">
        <f>G685*1%</f>
        <v>90000</v>
      </c>
      <c r="P685">
        <v>8</v>
      </c>
      <c r="Q685" s="13">
        <f>P685*200000</f>
        <v>1600000</v>
      </c>
      <c r="R685" s="8">
        <v>0</v>
      </c>
      <c r="S685" s="9">
        <f>8%*G685</f>
        <v>720000</v>
      </c>
    </row>
    <row r="686" spans="1:19" x14ac:dyDescent="0.3">
      <c r="A686">
        <v>684</v>
      </c>
      <c r="B686" s="10" t="s">
        <v>1371</v>
      </c>
      <c r="C686" s="10" t="s">
        <v>1372</v>
      </c>
      <c r="D686" s="11" t="str">
        <f>VLOOKUP(MID(B686,6,1),'Tabel Acuan'!$A$10:$B$17,2,0)</f>
        <v>Operations</v>
      </c>
      <c r="E686" t="str">
        <f>VLOOKUP(MID(B686,8,2),'Tabel Acuan'!$A$1:$B$6,2,0)</f>
        <v>Senior Staff</v>
      </c>
      <c r="F686" s="12">
        <v>44814</v>
      </c>
      <c r="G686" s="8" cm="1">
        <f t="array" ref="G686">INDEX('Tabel Acuan'!$F$4:$F$39,
MATCH(1,('Tabel Acuan'!$D$4:$D$39='Data Gaji Pegawai'!D686)*('Tabel Acuan'!$E$4:$E$39='Data Gaji Pegawai'!E686),0))</f>
        <v>6300000</v>
      </c>
      <c r="H686">
        <f>I686/100000</f>
        <v>15</v>
      </c>
      <c r="I686" s="14">
        <v>1500000</v>
      </c>
      <c r="J686">
        <f ca="1">INT((TODAY()-F686)/30.417)</f>
        <v>45</v>
      </c>
      <c r="K686" s="13">
        <f t="shared" ca="1" si="10"/>
        <v>0</v>
      </c>
      <c r="L686" s="8">
        <f>G686*3.7%</f>
        <v>233100.00000000003</v>
      </c>
      <c r="M686" s="8">
        <f>G686*2%</f>
        <v>126000</v>
      </c>
      <c r="N686" s="8">
        <f>G686*4%</f>
        <v>252000</v>
      </c>
      <c r="O686" s="8">
        <f>G686*1%</f>
        <v>63000</v>
      </c>
      <c r="P686">
        <v>6</v>
      </c>
      <c r="Q686" s="13">
        <f>P686*200000</f>
        <v>1200000</v>
      </c>
      <c r="R686" s="8">
        <v>2000000</v>
      </c>
      <c r="S686" s="9">
        <f>8%*G686</f>
        <v>504000</v>
      </c>
    </row>
    <row r="687" spans="1:19" x14ac:dyDescent="0.3">
      <c r="A687">
        <v>685</v>
      </c>
      <c r="B687" s="10" t="s">
        <v>1373</v>
      </c>
      <c r="C687" s="10" t="s">
        <v>1017</v>
      </c>
      <c r="D687" s="11" t="str">
        <f>VLOOKUP(MID(B687,6,1),'Tabel Acuan'!$A$10:$B$17,2,0)</f>
        <v>Information Technology (IT)</v>
      </c>
      <c r="E687" t="str">
        <f>VLOOKUP(MID(B687,8,2),'Tabel Acuan'!$A$1:$B$6,2,0)</f>
        <v>Senior Staff</v>
      </c>
      <c r="F687" s="12">
        <v>44565</v>
      </c>
      <c r="G687" s="8" cm="1">
        <f t="array" ref="G687">INDEX('Tabel Acuan'!$F$4:$F$39,
MATCH(1,('Tabel Acuan'!$D$4:$D$39='Data Gaji Pegawai'!D687)*('Tabel Acuan'!$E$4:$E$39='Data Gaji Pegawai'!E687),0))</f>
        <v>7500000</v>
      </c>
      <c r="H687">
        <f>I687/100000</f>
        <v>15</v>
      </c>
      <c r="I687" s="14">
        <v>1500000</v>
      </c>
      <c r="J687">
        <f ca="1">INT((TODAY()-F687)/30.417)</f>
        <v>53</v>
      </c>
      <c r="K687" s="13">
        <f t="shared" ca="1" si="10"/>
        <v>0</v>
      </c>
      <c r="L687" s="8">
        <f>G687*3.7%</f>
        <v>277500.00000000006</v>
      </c>
      <c r="M687" s="8">
        <f>G687*2%</f>
        <v>150000</v>
      </c>
      <c r="N687" s="8">
        <f>G687*4%</f>
        <v>300000</v>
      </c>
      <c r="O687" s="8">
        <f>G687*1%</f>
        <v>75000</v>
      </c>
      <c r="P687">
        <v>8</v>
      </c>
      <c r="Q687" s="13">
        <f>P687*200000</f>
        <v>1600000</v>
      </c>
      <c r="R687" s="8">
        <v>2500000</v>
      </c>
      <c r="S687" s="9">
        <f>8%*G687</f>
        <v>600000</v>
      </c>
    </row>
    <row r="688" spans="1:19" x14ac:dyDescent="0.3">
      <c r="A688">
        <v>686</v>
      </c>
      <c r="B688" s="10" t="s">
        <v>1374</v>
      </c>
      <c r="C688" s="10" t="s">
        <v>1375</v>
      </c>
      <c r="D688" s="11" t="str">
        <f>VLOOKUP(MID(B688,6,1),'Tabel Acuan'!$A$10:$B$17,2,0)</f>
        <v>Human Resources (HR)</v>
      </c>
      <c r="E688" t="str">
        <f>VLOOKUP(MID(B688,8,2),'Tabel Acuan'!$A$1:$B$6,2,0)</f>
        <v>Staff</v>
      </c>
      <c r="F688" s="12">
        <v>43279</v>
      </c>
      <c r="G688" s="8" cm="1">
        <f t="array" ref="G688">INDEX('Tabel Acuan'!$F$4:$F$39,
MATCH(1,('Tabel Acuan'!$D$4:$D$39='Data Gaji Pegawai'!D688)*('Tabel Acuan'!$E$4:$E$39='Data Gaji Pegawai'!E688),0))</f>
        <v>5000000</v>
      </c>
      <c r="H688">
        <f>I688/100000</f>
        <v>2</v>
      </c>
      <c r="I688" s="14">
        <v>200000</v>
      </c>
      <c r="J688">
        <f ca="1">INT((TODAY()-F688)/30.417)</f>
        <v>96</v>
      </c>
      <c r="K688" s="13">
        <f t="shared" ca="1" si="10"/>
        <v>0</v>
      </c>
      <c r="L688" s="8">
        <f>G688*3.7%</f>
        <v>185000.00000000003</v>
      </c>
      <c r="M688" s="8">
        <f>G688*2%</f>
        <v>100000</v>
      </c>
      <c r="N688" s="8">
        <f>G688*4%</f>
        <v>200000</v>
      </c>
      <c r="O688" s="8">
        <f>G688*1%</f>
        <v>50000</v>
      </c>
      <c r="P688">
        <v>4</v>
      </c>
      <c r="Q688" s="13">
        <f>P688*200000</f>
        <v>800000</v>
      </c>
      <c r="R688" s="8">
        <v>3500000</v>
      </c>
      <c r="S688" s="9">
        <f>8%*G688</f>
        <v>400000</v>
      </c>
    </row>
    <row r="689" spans="1:19" x14ac:dyDescent="0.3">
      <c r="A689">
        <v>687</v>
      </c>
      <c r="B689" s="10" t="s">
        <v>1376</v>
      </c>
      <c r="C689" s="10" t="s">
        <v>400</v>
      </c>
      <c r="D689" s="11" t="str">
        <f>VLOOKUP(MID(B689,6,1),'Tabel Acuan'!$A$10:$B$17,2,0)</f>
        <v>Operations</v>
      </c>
      <c r="E689" t="str">
        <f>VLOOKUP(MID(B689,8,2),'Tabel Acuan'!$A$1:$B$6,2,0)</f>
        <v>Senior Staff</v>
      </c>
      <c r="F689" s="12">
        <v>45317</v>
      </c>
      <c r="G689" s="8" cm="1">
        <f t="array" ref="G689">INDEX('Tabel Acuan'!$F$4:$F$39,
MATCH(1,('Tabel Acuan'!$D$4:$D$39='Data Gaji Pegawai'!D689)*('Tabel Acuan'!$E$4:$E$39='Data Gaji Pegawai'!E689),0))</f>
        <v>6300000</v>
      </c>
      <c r="H689">
        <f>I689/100000</f>
        <v>6</v>
      </c>
      <c r="I689" s="14">
        <v>600000</v>
      </c>
      <c r="J689">
        <f ca="1">INT((TODAY()-F689)/30.417)</f>
        <v>29</v>
      </c>
      <c r="K689" s="13">
        <f t="shared" ca="1" si="10"/>
        <v>0</v>
      </c>
      <c r="L689" s="8">
        <f>G689*3.7%</f>
        <v>233100.00000000003</v>
      </c>
      <c r="M689" s="8">
        <f>G689*2%</f>
        <v>126000</v>
      </c>
      <c r="N689" s="8">
        <f>G689*4%</f>
        <v>252000</v>
      </c>
      <c r="O689" s="8">
        <f>G689*1%</f>
        <v>63000</v>
      </c>
      <c r="P689">
        <v>13</v>
      </c>
      <c r="Q689" s="13">
        <f>P689*200000</f>
        <v>2600000</v>
      </c>
      <c r="R689" s="8">
        <v>500000</v>
      </c>
      <c r="S689" s="9">
        <f>8%*G689</f>
        <v>504000</v>
      </c>
    </row>
    <row r="690" spans="1:19" x14ac:dyDescent="0.3">
      <c r="A690">
        <v>688</v>
      </c>
      <c r="B690" s="10" t="s">
        <v>1377</v>
      </c>
      <c r="C690" s="10" t="s">
        <v>1378</v>
      </c>
      <c r="D690" s="11" t="str">
        <f>VLOOKUP(MID(B690,6,1),'Tabel Acuan'!$A$10:$B$17,2,0)</f>
        <v>Logistics</v>
      </c>
      <c r="E690" t="str">
        <f>VLOOKUP(MID(B690,8,2),'Tabel Acuan'!$A$1:$B$6,2,0)</f>
        <v>Senior Staff</v>
      </c>
      <c r="F690" s="12">
        <v>45962</v>
      </c>
      <c r="G690" s="8" cm="1">
        <f t="array" ref="G690">INDEX('Tabel Acuan'!$F$4:$F$39,
MATCH(1,('Tabel Acuan'!$D$4:$D$39='Data Gaji Pegawai'!D690)*('Tabel Acuan'!$E$4:$E$39='Data Gaji Pegawai'!E690),0))</f>
        <v>6250000</v>
      </c>
      <c r="H690">
        <f>I690/100000</f>
        <v>36</v>
      </c>
      <c r="I690" s="14">
        <v>3600000</v>
      </c>
      <c r="J690">
        <f ca="1">INT((TODAY()-F690)/30.417)</f>
        <v>7</v>
      </c>
      <c r="K690" s="13">
        <f t="shared" ca="1" si="10"/>
        <v>0</v>
      </c>
      <c r="L690" s="8">
        <f>G690*3.7%</f>
        <v>231250.00000000003</v>
      </c>
      <c r="M690" s="8">
        <f>G690*2%</f>
        <v>125000</v>
      </c>
      <c r="N690" s="8">
        <f>G690*4%</f>
        <v>250000</v>
      </c>
      <c r="O690" s="8">
        <f>G690*1%</f>
        <v>62500</v>
      </c>
      <c r="P690">
        <v>5</v>
      </c>
      <c r="Q690" s="13">
        <f>P690*200000</f>
        <v>1000000</v>
      </c>
      <c r="R690" s="8">
        <v>4000000</v>
      </c>
      <c r="S690" s="9">
        <f>8%*G690</f>
        <v>500000</v>
      </c>
    </row>
    <row r="691" spans="1:19" x14ac:dyDescent="0.3">
      <c r="A691">
        <v>689</v>
      </c>
      <c r="B691" s="10" t="s">
        <v>1379</v>
      </c>
      <c r="C691" s="10" t="s">
        <v>1380</v>
      </c>
      <c r="D691" s="11" t="str">
        <f>VLOOKUP(MID(B691,6,1),'Tabel Acuan'!$A$10:$B$17,2,0)</f>
        <v>Logistics</v>
      </c>
      <c r="E691" t="str">
        <f>VLOOKUP(MID(B691,8,2),'Tabel Acuan'!$A$1:$B$6,2,0)</f>
        <v>Assistant Manager</v>
      </c>
      <c r="F691" s="12">
        <v>45445</v>
      </c>
      <c r="G691" s="8" cm="1">
        <f t="array" ref="G691">INDEX('Tabel Acuan'!$F$4:$F$39,
MATCH(1,('Tabel Acuan'!$D$4:$D$39='Data Gaji Pegawai'!D691)*('Tabel Acuan'!$E$4:$E$39='Data Gaji Pegawai'!E691),0))</f>
        <v>9300000</v>
      </c>
      <c r="H691">
        <f>I691/100000</f>
        <v>20</v>
      </c>
      <c r="I691" s="14">
        <v>2000000</v>
      </c>
      <c r="J691">
        <f ca="1">INT((TODAY()-F691)/30.417)</f>
        <v>24</v>
      </c>
      <c r="K691" s="13">
        <f t="shared" ca="1" si="10"/>
        <v>0</v>
      </c>
      <c r="L691" s="8">
        <f>G691*3.7%</f>
        <v>344100.00000000006</v>
      </c>
      <c r="M691" s="8">
        <f>G691*2%</f>
        <v>186000</v>
      </c>
      <c r="N691" s="8">
        <f>G691*4%</f>
        <v>372000</v>
      </c>
      <c r="O691" s="8">
        <f>G691*1%</f>
        <v>93000</v>
      </c>
      <c r="P691">
        <v>11</v>
      </c>
      <c r="Q691" s="13">
        <f>P691*200000</f>
        <v>2200000</v>
      </c>
      <c r="R691" s="8">
        <v>300000</v>
      </c>
      <c r="S691" s="9">
        <f>8%*G691</f>
        <v>744000</v>
      </c>
    </row>
    <row r="692" spans="1:19" x14ac:dyDescent="0.3">
      <c r="A692">
        <v>690</v>
      </c>
      <c r="B692" s="10" t="s">
        <v>1381</v>
      </c>
      <c r="C692" s="10" t="s">
        <v>1382</v>
      </c>
      <c r="D692" s="11" t="str">
        <f>VLOOKUP(MID(B692,6,1),'Tabel Acuan'!$A$10:$B$17,2,0)</f>
        <v>Operations</v>
      </c>
      <c r="E692" t="str">
        <f>VLOOKUP(MID(B692,8,2),'Tabel Acuan'!$A$1:$B$6,2,0)</f>
        <v>Senior Staff</v>
      </c>
      <c r="F692" s="12">
        <v>44265</v>
      </c>
      <c r="G692" s="8" cm="1">
        <f t="array" ref="G692">INDEX('Tabel Acuan'!$F$4:$F$39,
MATCH(1,('Tabel Acuan'!$D$4:$D$39='Data Gaji Pegawai'!D692)*('Tabel Acuan'!$E$4:$E$39='Data Gaji Pegawai'!E692),0))</f>
        <v>6300000</v>
      </c>
      <c r="H692">
        <f>I692/100000</f>
        <v>7</v>
      </c>
      <c r="I692" s="14">
        <v>700000</v>
      </c>
      <c r="J692">
        <f ca="1">INT((TODAY()-F692)/30.417)</f>
        <v>63</v>
      </c>
      <c r="K692" s="13">
        <f t="shared" ca="1" si="10"/>
        <v>0</v>
      </c>
      <c r="L692" s="8">
        <f>G692*3.7%</f>
        <v>233100.00000000003</v>
      </c>
      <c r="M692" s="8">
        <f>G692*2%</f>
        <v>126000</v>
      </c>
      <c r="N692" s="8">
        <f>G692*4%</f>
        <v>252000</v>
      </c>
      <c r="O692" s="8">
        <f>G692*1%</f>
        <v>63000</v>
      </c>
      <c r="P692">
        <v>8</v>
      </c>
      <c r="Q692" s="13">
        <f>P692*200000</f>
        <v>1600000</v>
      </c>
      <c r="R692" s="8">
        <v>0</v>
      </c>
      <c r="S692" s="9">
        <f>8%*G692</f>
        <v>504000</v>
      </c>
    </row>
    <row r="693" spans="1:19" x14ac:dyDescent="0.3">
      <c r="A693">
        <v>691</v>
      </c>
      <c r="B693" s="10" t="s">
        <v>1383</v>
      </c>
      <c r="C693" s="10" t="s">
        <v>1384</v>
      </c>
      <c r="D693" s="11" t="str">
        <f>VLOOKUP(MID(B693,6,1),'Tabel Acuan'!$A$10:$B$17,2,0)</f>
        <v>Marketing</v>
      </c>
      <c r="E693" t="str">
        <f>VLOOKUP(MID(B693,8,2),'Tabel Acuan'!$A$1:$B$6,2,0)</f>
        <v>Staff</v>
      </c>
      <c r="F693" s="12">
        <v>44226</v>
      </c>
      <c r="G693" s="8" cm="1">
        <f t="array" ref="G693">INDEX('Tabel Acuan'!$F$4:$F$39,
MATCH(1,('Tabel Acuan'!$D$4:$D$39='Data Gaji Pegawai'!D693)*('Tabel Acuan'!$E$4:$E$39='Data Gaji Pegawai'!E693),0))</f>
        <v>5300000</v>
      </c>
      <c r="H693">
        <f>I693/100000</f>
        <v>6</v>
      </c>
      <c r="I693" s="14">
        <v>600000</v>
      </c>
      <c r="J693">
        <f ca="1">INT((TODAY()-F693)/30.417)</f>
        <v>65</v>
      </c>
      <c r="K693" s="13">
        <f t="shared" ca="1" si="10"/>
        <v>0</v>
      </c>
      <c r="L693" s="8">
        <f>G693*3.7%</f>
        <v>196100.00000000003</v>
      </c>
      <c r="M693" s="8">
        <f>G693*2%</f>
        <v>106000</v>
      </c>
      <c r="N693" s="8">
        <f>G693*4%</f>
        <v>212000</v>
      </c>
      <c r="O693" s="8">
        <f>G693*1%</f>
        <v>53000</v>
      </c>
      <c r="P693">
        <v>2</v>
      </c>
      <c r="Q693" s="13">
        <f>P693*200000</f>
        <v>400000</v>
      </c>
      <c r="R693" s="8">
        <v>4000000</v>
      </c>
      <c r="S693" s="9">
        <f>8%*G693</f>
        <v>424000</v>
      </c>
    </row>
    <row r="694" spans="1:19" x14ac:dyDescent="0.3">
      <c r="A694">
        <v>692</v>
      </c>
      <c r="B694" s="10" t="s">
        <v>1385</v>
      </c>
      <c r="C694" s="10" t="s">
        <v>1386</v>
      </c>
      <c r="D694" s="11" t="str">
        <f>VLOOKUP(MID(B694,6,1),'Tabel Acuan'!$A$10:$B$17,2,0)</f>
        <v>Operations</v>
      </c>
      <c r="E694" t="str">
        <f>VLOOKUP(MID(B694,8,2),'Tabel Acuan'!$A$1:$B$6,2,0)</f>
        <v>Manager</v>
      </c>
      <c r="F694" s="12">
        <v>45603</v>
      </c>
      <c r="G694" s="8" cm="1">
        <f t="array" ref="G694">INDEX('Tabel Acuan'!$F$4:$F$39,
MATCH(1,('Tabel Acuan'!$D$4:$D$39='Data Gaji Pegawai'!D694)*('Tabel Acuan'!$E$4:$E$39='Data Gaji Pegawai'!E694),0))</f>
        <v>13000000</v>
      </c>
      <c r="H694">
        <f>I694/100000</f>
        <v>54</v>
      </c>
      <c r="I694" s="14">
        <v>5400000</v>
      </c>
      <c r="J694">
        <f ca="1">INT((TODAY()-F694)/30.417)</f>
        <v>19</v>
      </c>
      <c r="K694" s="13">
        <f t="shared" ca="1" si="10"/>
        <v>0</v>
      </c>
      <c r="L694" s="8">
        <f>G694*3.7%</f>
        <v>481000.00000000006</v>
      </c>
      <c r="M694" s="8">
        <f>G694*2%</f>
        <v>260000</v>
      </c>
      <c r="N694" s="8">
        <f>G694*4%</f>
        <v>520000</v>
      </c>
      <c r="O694" s="8">
        <f>G694*1%</f>
        <v>130000</v>
      </c>
      <c r="P694">
        <v>10</v>
      </c>
      <c r="Q694" s="13">
        <f>P694*200000</f>
        <v>2000000</v>
      </c>
      <c r="R694" s="8">
        <v>0</v>
      </c>
      <c r="S694" s="9">
        <f>8%*G694</f>
        <v>1040000</v>
      </c>
    </row>
    <row r="695" spans="1:19" x14ac:dyDescent="0.3">
      <c r="A695">
        <v>693</v>
      </c>
      <c r="B695" s="10" t="s">
        <v>1387</v>
      </c>
      <c r="C695" s="10" t="s">
        <v>473</v>
      </c>
      <c r="D695" s="11" t="str">
        <f>VLOOKUP(MID(B695,6,1),'Tabel Acuan'!$A$10:$B$17,2,0)</f>
        <v>Marketing</v>
      </c>
      <c r="E695" t="str">
        <f>VLOOKUP(MID(B695,8,2),'Tabel Acuan'!$A$1:$B$6,2,0)</f>
        <v>Staff</v>
      </c>
      <c r="F695" s="12">
        <v>45580</v>
      </c>
      <c r="G695" s="8" cm="1">
        <f t="array" ref="G695">INDEX('Tabel Acuan'!$F$4:$F$39,
MATCH(1,('Tabel Acuan'!$D$4:$D$39='Data Gaji Pegawai'!D695)*('Tabel Acuan'!$E$4:$E$39='Data Gaji Pegawai'!E695),0))</f>
        <v>5300000</v>
      </c>
      <c r="H695">
        <f>I695/100000</f>
        <v>31</v>
      </c>
      <c r="I695" s="14">
        <v>3100000</v>
      </c>
      <c r="J695">
        <f ca="1">INT((TODAY()-F695)/30.417)</f>
        <v>20</v>
      </c>
      <c r="K695" s="13">
        <f t="shared" ca="1" si="10"/>
        <v>0</v>
      </c>
      <c r="L695" s="8">
        <f>G695*3.7%</f>
        <v>196100.00000000003</v>
      </c>
      <c r="M695" s="8">
        <f>G695*2%</f>
        <v>106000</v>
      </c>
      <c r="N695" s="8">
        <f>G695*4%</f>
        <v>212000</v>
      </c>
      <c r="O695" s="8">
        <f>G695*1%</f>
        <v>53000</v>
      </c>
      <c r="P695">
        <v>15</v>
      </c>
      <c r="Q695" s="13">
        <f>P695*200000</f>
        <v>3000000</v>
      </c>
      <c r="R695" s="8">
        <v>500000</v>
      </c>
      <c r="S695" s="9">
        <f>8%*G695</f>
        <v>424000</v>
      </c>
    </row>
    <row r="696" spans="1:19" x14ac:dyDescent="0.3">
      <c r="A696">
        <v>694</v>
      </c>
      <c r="B696" s="10" t="s">
        <v>1388</v>
      </c>
      <c r="C696" s="10" t="s">
        <v>1389</v>
      </c>
      <c r="D696" s="11" t="str">
        <f>VLOOKUP(MID(B696,6,1),'Tabel Acuan'!$A$10:$B$17,2,0)</f>
        <v>Finance</v>
      </c>
      <c r="E696" t="str">
        <f>VLOOKUP(MID(B696,8,2),'Tabel Acuan'!$A$1:$B$6,2,0)</f>
        <v>Supervisor</v>
      </c>
      <c r="F696" s="12">
        <v>45352</v>
      </c>
      <c r="G696" s="8" cm="1">
        <f t="array" ref="G696">INDEX('Tabel Acuan'!$F$4:$F$39,
MATCH(1,('Tabel Acuan'!$D$4:$D$39='Data Gaji Pegawai'!D696)*('Tabel Acuan'!$E$4:$E$39='Data Gaji Pegawai'!E696),0))</f>
        <v>8000000</v>
      </c>
      <c r="H696">
        <f>I696/100000</f>
        <v>1</v>
      </c>
      <c r="I696" s="14">
        <v>100000</v>
      </c>
      <c r="J696">
        <f ca="1">INT((TODAY()-F696)/30.417)</f>
        <v>28</v>
      </c>
      <c r="K696" s="13">
        <f t="shared" ca="1" si="10"/>
        <v>0</v>
      </c>
      <c r="L696" s="8">
        <f>G696*3.7%</f>
        <v>296000.00000000006</v>
      </c>
      <c r="M696" s="8">
        <f>G696*2%</f>
        <v>160000</v>
      </c>
      <c r="N696" s="8">
        <f>G696*4%</f>
        <v>320000</v>
      </c>
      <c r="O696" s="8">
        <f>G696*1%</f>
        <v>80000</v>
      </c>
      <c r="P696">
        <v>14</v>
      </c>
      <c r="Q696" s="13">
        <f>P696*200000</f>
        <v>2800000</v>
      </c>
      <c r="R696" s="8">
        <v>300000</v>
      </c>
      <c r="S696" s="9">
        <f>8%*G696</f>
        <v>640000</v>
      </c>
    </row>
    <row r="697" spans="1:19" x14ac:dyDescent="0.3">
      <c r="A697">
        <v>695</v>
      </c>
      <c r="B697" s="10" t="s">
        <v>1390</v>
      </c>
      <c r="C697" s="10" t="s">
        <v>1391</v>
      </c>
      <c r="D697" s="11" t="str">
        <f>VLOOKUP(MID(B697,6,1),'Tabel Acuan'!$A$10:$B$17,2,0)</f>
        <v>Operations</v>
      </c>
      <c r="E697" t="str">
        <f>VLOOKUP(MID(B697,8,2),'Tabel Acuan'!$A$1:$B$6,2,0)</f>
        <v>Senior Staff</v>
      </c>
      <c r="F697" s="12">
        <v>43124</v>
      </c>
      <c r="G697" s="8" cm="1">
        <f t="array" ref="G697">INDEX('Tabel Acuan'!$F$4:$F$39,
MATCH(1,('Tabel Acuan'!$D$4:$D$39='Data Gaji Pegawai'!D697)*('Tabel Acuan'!$E$4:$E$39='Data Gaji Pegawai'!E697),0))</f>
        <v>6300000</v>
      </c>
      <c r="H697">
        <f>I697/100000</f>
        <v>21</v>
      </c>
      <c r="I697" s="14">
        <v>2100000</v>
      </c>
      <c r="J697">
        <f ca="1">INT((TODAY()-F697)/30.417)</f>
        <v>101</v>
      </c>
      <c r="K697" s="13">
        <f t="shared" ca="1" si="10"/>
        <v>0</v>
      </c>
      <c r="L697" s="8">
        <f>G697*3.7%</f>
        <v>233100.00000000003</v>
      </c>
      <c r="M697" s="8">
        <f>G697*2%</f>
        <v>126000</v>
      </c>
      <c r="N697" s="8">
        <f>G697*4%</f>
        <v>252000</v>
      </c>
      <c r="O697" s="8">
        <f>G697*1%</f>
        <v>63000</v>
      </c>
      <c r="P697">
        <v>11</v>
      </c>
      <c r="Q697" s="13">
        <f>P697*200000</f>
        <v>2200000</v>
      </c>
      <c r="R697" s="8">
        <v>3500000</v>
      </c>
      <c r="S697" s="9">
        <f>8%*G697</f>
        <v>504000</v>
      </c>
    </row>
    <row r="698" spans="1:19" x14ac:dyDescent="0.3">
      <c r="A698">
        <v>696</v>
      </c>
      <c r="B698" s="10" t="s">
        <v>1392</v>
      </c>
      <c r="C698" s="10" t="s">
        <v>1393</v>
      </c>
      <c r="D698" s="11" t="str">
        <f>VLOOKUP(MID(B698,6,1),'Tabel Acuan'!$A$10:$B$17,2,0)</f>
        <v>Human Resources (HR)</v>
      </c>
      <c r="E698" t="str">
        <f>VLOOKUP(MID(B698,8,2),'Tabel Acuan'!$A$1:$B$6,2,0)</f>
        <v>Senior Staff</v>
      </c>
      <c r="F698" s="12">
        <v>43231</v>
      </c>
      <c r="G698" s="8" cm="1">
        <f t="array" ref="G698">INDEX('Tabel Acuan'!$F$4:$F$39,
MATCH(1,('Tabel Acuan'!$D$4:$D$39='Data Gaji Pegawai'!D698)*('Tabel Acuan'!$E$4:$E$39='Data Gaji Pegawai'!E698),0))</f>
        <v>6000000</v>
      </c>
      <c r="H698">
        <f>I698/100000</f>
        <v>50</v>
      </c>
      <c r="I698" s="14">
        <v>5000000</v>
      </c>
      <c r="J698">
        <f ca="1">INT((TODAY()-F698)/30.417)</f>
        <v>97</v>
      </c>
      <c r="K698" s="13">
        <f t="shared" ca="1" si="10"/>
        <v>0</v>
      </c>
      <c r="L698" s="8">
        <f>G698*3.7%</f>
        <v>222000.00000000003</v>
      </c>
      <c r="M698" s="8">
        <f>G698*2%</f>
        <v>120000</v>
      </c>
      <c r="N698" s="8">
        <f>G698*4%</f>
        <v>240000</v>
      </c>
      <c r="O698" s="8">
        <f>G698*1%</f>
        <v>60000</v>
      </c>
      <c r="P698">
        <v>2</v>
      </c>
      <c r="Q698" s="13">
        <f>P698*200000</f>
        <v>400000</v>
      </c>
      <c r="R698" s="8">
        <v>0</v>
      </c>
      <c r="S698" s="9">
        <f>8%*G698</f>
        <v>480000</v>
      </c>
    </row>
    <row r="699" spans="1:19" x14ac:dyDescent="0.3">
      <c r="A699">
        <v>697</v>
      </c>
      <c r="B699" s="10" t="s">
        <v>1394</v>
      </c>
      <c r="C699" s="10" t="s">
        <v>1395</v>
      </c>
      <c r="D699" s="11" t="str">
        <f>VLOOKUP(MID(B699,6,1),'Tabel Acuan'!$A$10:$B$17,2,0)</f>
        <v>Marketing</v>
      </c>
      <c r="E699" t="str">
        <f>VLOOKUP(MID(B699,8,2),'Tabel Acuan'!$A$1:$B$6,2,0)</f>
        <v>Staff</v>
      </c>
      <c r="F699" s="12">
        <v>45278</v>
      </c>
      <c r="G699" s="8" cm="1">
        <f t="array" ref="G699">INDEX('Tabel Acuan'!$F$4:$F$39,
MATCH(1,('Tabel Acuan'!$D$4:$D$39='Data Gaji Pegawai'!D699)*('Tabel Acuan'!$E$4:$E$39='Data Gaji Pegawai'!E699),0))</f>
        <v>5300000</v>
      </c>
      <c r="H699">
        <f>I699/100000</f>
        <v>21</v>
      </c>
      <c r="I699" s="14">
        <v>2100000</v>
      </c>
      <c r="J699">
        <f ca="1">INT((TODAY()-F699)/30.417)</f>
        <v>30</v>
      </c>
      <c r="K699" s="13">
        <f t="shared" ca="1" si="10"/>
        <v>0</v>
      </c>
      <c r="L699" s="8">
        <f>G699*3.7%</f>
        <v>196100.00000000003</v>
      </c>
      <c r="M699" s="8">
        <f>G699*2%</f>
        <v>106000</v>
      </c>
      <c r="N699" s="8">
        <f>G699*4%</f>
        <v>212000</v>
      </c>
      <c r="O699" s="8">
        <f>G699*1%</f>
        <v>53000</v>
      </c>
      <c r="P699">
        <v>10</v>
      </c>
      <c r="Q699" s="13">
        <f>P699*200000</f>
        <v>2000000</v>
      </c>
      <c r="R699" s="8">
        <v>3000000</v>
      </c>
      <c r="S699" s="9">
        <f>8%*G699</f>
        <v>424000</v>
      </c>
    </row>
    <row r="700" spans="1:19" x14ac:dyDescent="0.3">
      <c r="A700">
        <v>698</v>
      </c>
      <c r="B700" s="10" t="s">
        <v>1396</v>
      </c>
      <c r="C700" s="10" t="s">
        <v>1397</v>
      </c>
      <c r="D700" s="11" t="str">
        <f>VLOOKUP(MID(B700,6,1),'Tabel Acuan'!$A$10:$B$17,2,0)</f>
        <v>Human Resources (HR)</v>
      </c>
      <c r="E700" t="str">
        <f>VLOOKUP(MID(B700,8,2),'Tabel Acuan'!$A$1:$B$6,2,0)</f>
        <v>Supervisor</v>
      </c>
      <c r="F700" s="12">
        <v>45465</v>
      </c>
      <c r="G700" s="8" cm="1">
        <f t="array" ref="G700">INDEX('Tabel Acuan'!$F$4:$F$39,
MATCH(1,('Tabel Acuan'!$D$4:$D$39='Data Gaji Pegawai'!D700)*('Tabel Acuan'!$E$4:$E$39='Data Gaji Pegawai'!E700),0))</f>
        <v>7250000</v>
      </c>
      <c r="H700">
        <f>I700/100000</f>
        <v>59</v>
      </c>
      <c r="I700" s="14">
        <v>5900000</v>
      </c>
      <c r="J700">
        <f ca="1">INT((TODAY()-F700)/30.417)</f>
        <v>24</v>
      </c>
      <c r="K700" s="13">
        <f t="shared" ca="1" si="10"/>
        <v>0</v>
      </c>
      <c r="L700" s="8">
        <f>G700*3.7%</f>
        <v>268250.00000000006</v>
      </c>
      <c r="M700" s="8">
        <f>G700*2%</f>
        <v>145000</v>
      </c>
      <c r="N700" s="8">
        <f>G700*4%</f>
        <v>290000</v>
      </c>
      <c r="O700" s="8">
        <f>G700*1%</f>
        <v>72500</v>
      </c>
      <c r="P700">
        <v>15</v>
      </c>
      <c r="Q700" s="13">
        <f>P700*200000</f>
        <v>3000000</v>
      </c>
      <c r="R700" s="8">
        <v>5000000</v>
      </c>
      <c r="S700" s="9">
        <f>8%*G700</f>
        <v>580000</v>
      </c>
    </row>
    <row r="701" spans="1:19" x14ac:dyDescent="0.3">
      <c r="A701">
        <v>699</v>
      </c>
      <c r="B701" s="10" t="s">
        <v>1398</v>
      </c>
      <c r="C701" s="10" t="s">
        <v>1399</v>
      </c>
      <c r="D701" s="11" t="str">
        <f>VLOOKUP(MID(B701,6,1),'Tabel Acuan'!$A$10:$B$17,2,0)</f>
        <v>Sales</v>
      </c>
      <c r="E701" t="str">
        <f>VLOOKUP(MID(B701,8,2),'Tabel Acuan'!$A$1:$B$6,2,0)</f>
        <v>Staff</v>
      </c>
      <c r="F701" s="12">
        <v>42240</v>
      </c>
      <c r="G701" s="8" cm="1">
        <f t="array" ref="G701">INDEX('Tabel Acuan'!$F$4:$F$39,
MATCH(1,('Tabel Acuan'!$D$4:$D$39='Data Gaji Pegawai'!D701)*('Tabel Acuan'!$E$4:$E$39='Data Gaji Pegawai'!E701),0))</f>
        <v>5000000</v>
      </c>
      <c r="H701">
        <f>I701/100000</f>
        <v>57</v>
      </c>
      <c r="I701" s="14">
        <v>5700000</v>
      </c>
      <c r="J701">
        <f ca="1">INT((TODAY()-F701)/30.417)</f>
        <v>130</v>
      </c>
      <c r="K701" s="13">
        <f t="shared" ca="1" si="10"/>
        <v>0</v>
      </c>
      <c r="L701" s="8">
        <f>G701*3.7%</f>
        <v>185000.00000000003</v>
      </c>
      <c r="M701" s="8">
        <f>G701*2%</f>
        <v>100000</v>
      </c>
      <c r="N701" s="8">
        <f>G701*4%</f>
        <v>200000</v>
      </c>
      <c r="O701" s="8">
        <f>G701*1%</f>
        <v>50000</v>
      </c>
      <c r="P701">
        <v>10</v>
      </c>
      <c r="Q701" s="13">
        <f>P701*200000</f>
        <v>2000000</v>
      </c>
      <c r="R701" s="8">
        <v>1500000</v>
      </c>
      <c r="S701" s="9">
        <f>8%*G701</f>
        <v>400000</v>
      </c>
    </row>
    <row r="702" spans="1:19" x14ac:dyDescent="0.3">
      <c r="A702">
        <v>700</v>
      </c>
      <c r="B702" s="10" t="s">
        <v>1400</v>
      </c>
      <c r="C702" s="10" t="s">
        <v>1401</v>
      </c>
      <c r="D702" s="11" t="str">
        <f>VLOOKUP(MID(B702,6,1),'Tabel Acuan'!$A$10:$B$17,2,0)</f>
        <v>Operations</v>
      </c>
      <c r="E702" t="str">
        <f>VLOOKUP(MID(B702,8,2),'Tabel Acuan'!$A$1:$B$6,2,0)</f>
        <v>Senior Staff</v>
      </c>
      <c r="F702" s="12">
        <v>42352</v>
      </c>
      <c r="G702" s="8" cm="1">
        <f t="array" ref="G702">INDEX('Tabel Acuan'!$F$4:$F$39,
MATCH(1,('Tabel Acuan'!$D$4:$D$39='Data Gaji Pegawai'!D702)*('Tabel Acuan'!$E$4:$E$39='Data Gaji Pegawai'!E702),0))</f>
        <v>6300000</v>
      </c>
      <c r="H702">
        <f>I702/100000</f>
        <v>20</v>
      </c>
      <c r="I702" s="14">
        <v>2000000</v>
      </c>
      <c r="J702">
        <f ca="1">INT((TODAY()-F702)/30.417)</f>
        <v>126</v>
      </c>
      <c r="K702" s="13">
        <f t="shared" ca="1" si="10"/>
        <v>0</v>
      </c>
      <c r="L702" s="8">
        <f>G702*3.7%</f>
        <v>233100.00000000003</v>
      </c>
      <c r="M702" s="8">
        <f>G702*2%</f>
        <v>126000</v>
      </c>
      <c r="N702" s="8">
        <f>G702*4%</f>
        <v>252000</v>
      </c>
      <c r="O702" s="8">
        <f>G702*1%</f>
        <v>63000</v>
      </c>
      <c r="P702">
        <v>0</v>
      </c>
      <c r="Q702" s="13">
        <f>P702*200000</f>
        <v>0</v>
      </c>
      <c r="R702" s="8">
        <v>0</v>
      </c>
      <c r="S702" s="9">
        <f>8%*G702</f>
        <v>504000</v>
      </c>
    </row>
  </sheetData>
  <mergeCells count="15">
    <mergeCell ref="A1:A2"/>
    <mergeCell ref="K1:K2"/>
    <mergeCell ref="J1:J2"/>
    <mergeCell ref="I1:I2"/>
    <mergeCell ref="H1:H2"/>
    <mergeCell ref="G1:G2"/>
    <mergeCell ref="F1:F2"/>
    <mergeCell ref="E1:E2"/>
    <mergeCell ref="D1:D2"/>
    <mergeCell ref="C1:C2"/>
    <mergeCell ref="B1:B2"/>
    <mergeCell ref="S1:S2"/>
    <mergeCell ref="R1:R2"/>
    <mergeCell ref="Q1:Q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C4A-E507-4012-B20C-29B5DC9710B2}">
  <dimension ref="A1:P39"/>
  <sheetViews>
    <sheetView zoomScale="70" zoomScaleNormal="70" workbookViewId="0">
      <selection activeCell="H15" sqref="H15"/>
    </sheetView>
  </sheetViews>
  <sheetFormatPr defaultRowHeight="14.4" x14ac:dyDescent="0.3"/>
  <cols>
    <col min="1" max="1" width="5" bestFit="1" customWidth="1"/>
    <col min="2" max="2" width="22.6640625" bestFit="1" customWidth="1"/>
    <col min="3" max="3" width="15.77734375" bestFit="1" customWidth="1"/>
    <col min="4" max="4" width="24.21875" bestFit="1" customWidth="1"/>
    <col min="5" max="5" width="16.44140625" bestFit="1" customWidth="1"/>
    <col min="6" max="6" width="13.109375" bestFit="1" customWidth="1"/>
    <col min="8" max="8" width="20.44140625" bestFit="1" customWidth="1"/>
    <col min="9" max="9" width="16.6640625" bestFit="1" customWidth="1"/>
  </cols>
  <sheetData>
    <row r="1" spans="1:16" x14ac:dyDescent="0.3">
      <c r="A1" s="5" t="s">
        <v>23</v>
      </c>
      <c r="B1" s="5" t="s">
        <v>5</v>
      </c>
    </row>
    <row r="2" spans="1:16" x14ac:dyDescent="0.3">
      <c r="A2" s="6" t="s">
        <v>44</v>
      </c>
      <c r="B2" s="6" t="s">
        <v>24</v>
      </c>
    </row>
    <row r="3" spans="1:16" x14ac:dyDescent="0.3">
      <c r="A3" s="6" t="s">
        <v>45</v>
      </c>
      <c r="B3" s="6" t="s">
        <v>25</v>
      </c>
    </row>
    <row r="4" spans="1:16" x14ac:dyDescent="0.3">
      <c r="A4" s="6" t="s">
        <v>46</v>
      </c>
      <c r="B4" s="6" t="s">
        <v>26</v>
      </c>
      <c r="D4" s="4" t="s">
        <v>3</v>
      </c>
      <c r="E4" s="4" t="s">
        <v>5</v>
      </c>
      <c r="F4" s="4" t="s">
        <v>36</v>
      </c>
    </row>
    <row r="5" spans="1:16" x14ac:dyDescent="0.3">
      <c r="A5" s="6" t="s">
        <v>47</v>
      </c>
      <c r="B5" s="6" t="s">
        <v>27</v>
      </c>
      <c r="D5" t="s">
        <v>29</v>
      </c>
      <c r="E5" t="s">
        <v>24</v>
      </c>
      <c r="F5" s="8">
        <v>5000000</v>
      </c>
    </row>
    <row r="6" spans="1:16" x14ac:dyDescent="0.3">
      <c r="A6" s="6" t="s">
        <v>48</v>
      </c>
      <c r="B6" s="6" t="s">
        <v>28</v>
      </c>
      <c r="D6" t="s">
        <v>29</v>
      </c>
      <c r="E6" t="s">
        <v>25</v>
      </c>
      <c r="F6" s="8">
        <v>6000000</v>
      </c>
    </row>
    <row r="7" spans="1:16" x14ac:dyDescent="0.3">
      <c r="D7" t="s">
        <v>29</v>
      </c>
      <c r="E7" t="s">
        <v>26</v>
      </c>
      <c r="F7" s="8">
        <v>7250000</v>
      </c>
    </row>
    <row r="8" spans="1:16" x14ac:dyDescent="0.3">
      <c r="D8" t="s">
        <v>29</v>
      </c>
      <c r="E8" t="s">
        <v>27</v>
      </c>
      <c r="F8" s="8">
        <v>9000000</v>
      </c>
    </row>
    <row r="9" spans="1:16" x14ac:dyDescent="0.3">
      <c r="D9" t="s">
        <v>29</v>
      </c>
      <c r="E9" t="s">
        <v>28</v>
      </c>
      <c r="F9" s="8">
        <v>12000000</v>
      </c>
    </row>
    <row r="10" spans="1:16" x14ac:dyDescent="0.3">
      <c r="A10" s="4" t="s">
        <v>23</v>
      </c>
      <c r="B10" s="4" t="s">
        <v>3</v>
      </c>
      <c r="D10" t="s">
        <v>30</v>
      </c>
      <c r="E10" t="s">
        <v>24</v>
      </c>
      <c r="F10" s="8">
        <v>5500000</v>
      </c>
      <c r="I10" t="s">
        <v>1</v>
      </c>
      <c r="J10" t="s">
        <v>49</v>
      </c>
    </row>
    <row r="11" spans="1:16" x14ac:dyDescent="0.3">
      <c r="A11" t="s">
        <v>37</v>
      </c>
      <c r="B11" t="s">
        <v>29</v>
      </c>
      <c r="D11" t="s">
        <v>30</v>
      </c>
      <c r="E11" s="3" t="s">
        <v>25</v>
      </c>
      <c r="F11" s="9">
        <v>6600000</v>
      </c>
      <c r="G11" s="3"/>
      <c r="I11" s="3"/>
      <c r="J11" s="3"/>
      <c r="K11" s="7"/>
      <c r="L11" s="3"/>
      <c r="M11" s="3"/>
      <c r="N11" s="7"/>
      <c r="O11" s="3"/>
      <c r="P11" s="3"/>
    </row>
    <row r="12" spans="1:16" x14ac:dyDescent="0.3">
      <c r="A12" s="3" t="s">
        <v>38</v>
      </c>
      <c r="B12" t="s">
        <v>30</v>
      </c>
      <c r="D12" t="s">
        <v>30</v>
      </c>
      <c r="E12" s="3" t="s">
        <v>26</v>
      </c>
      <c r="F12" s="9">
        <v>8000000</v>
      </c>
      <c r="G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3" t="s">
        <v>39</v>
      </c>
      <c r="B13" t="s">
        <v>35</v>
      </c>
      <c r="D13" t="s">
        <v>30</v>
      </c>
      <c r="E13" s="3" t="s">
        <v>27</v>
      </c>
      <c r="F13" s="9">
        <v>10000000</v>
      </c>
      <c r="G13" s="3"/>
      <c r="I13" s="3"/>
      <c r="J13" s="3"/>
      <c r="K13" s="3"/>
      <c r="L13" s="3"/>
      <c r="M13" s="3"/>
      <c r="N13" s="3"/>
      <c r="O13" s="3"/>
      <c r="P13" s="3"/>
    </row>
    <row r="14" spans="1:16" x14ac:dyDescent="0.3">
      <c r="A14" s="3" t="s">
        <v>40</v>
      </c>
      <c r="B14" t="s">
        <v>31</v>
      </c>
      <c r="D14" t="s">
        <v>30</v>
      </c>
      <c r="E14" s="3" t="s">
        <v>28</v>
      </c>
      <c r="F14" s="9">
        <v>13500000</v>
      </c>
      <c r="G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3" t="s">
        <v>41</v>
      </c>
      <c r="B15" t="s">
        <v>32</v>
      </c>
      <c r="D15" t="s">
        <v>35</v>
      </c>
      <c r="E15" s="3" t="s">
        <v>24</v>
      </c>
      <c r="F15" s="9">
        <v>5200000</v>
      </c>
      <c r="G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3" t="s">
        <v>42</v>
      </c>
      <c r="B16" t="s">
        <v>33</v>
      </c>
      <c r="D16" t="s">
        <v>35</v>
      </c>
      <c r="E16" s="3" t="s">
        <v>25</v>
      </c>
      <c r="F16" s="9">
        <v>6250000</v>
      </c>
      <c r="G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3" t="s">
        <v>43</v>
      </c>
      <c r="B17" t="s">
        <v>34</v>
      </c>
      <c r="D17" t="s">
        <v>35</v>
      </c>
      <c r="E17" s="3" t="s">
        <v>26</v>
      </c>
      <c r="F17" s="9">
        <v>7500000</v>
      </c>
      <c r="G17" s="3"/>
      <c r="I17" s="3"/>
      <c r="J17" s="3"/>
      <c r="K17" s="3"/>
      <c r="L17" s="3"/>
      <c r="M17" s="3"/>
      <c r="N17" s="3"/>
      <c r="O17" s="3"/>
      <c r="P17" s="3"/>
    </row>
    <row r="18" spans="1:16" x14ac:dyDescent="0.3">
      <c r="D18" t="s">
        <v>35</v>
      </c>
      <c r="E18" s="3" t="s">
        <v>27</v>
      </c>
      <c r="F18" s="9">
        <v>9300000</v>
      </c>
      <c r="G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D19" t="s">
        <v>35</v>
      </c>
      <c r="E19" s="3" t="s">
        <v>28</v>
      </c>
      <c r="F19" s="9">
        <v>12500000</v>
      </c>
      <c r="G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D20" t="s">
        <v>31</v>
      </c>
      <c r="E20" s="3" t="s">
        <v>24</v>
      </c>
      <c r="F20" s="9">
        <v>6000000</v>
      </c>
      <c r="G20" s="3"/>
      <c r="I20" s="3"/>
      <c r="J20" s="3"/>
      <c r="K20" s="7"/>
      <c r="L20" s="3"/>
      <c r="M20" s="3"/>
      <c r="N20" s="7"/>
      <c r="O20" s="3"/>
      <c r="P20" s="3"/>
    </row>
    <row r="21" spans="1:16" x14ac:dyDescent="0.3">
      <c r="D21" t="s">
        <v>31</v>
      </c>
      <c r="E21" s="3" t="s">
        <v>25</v>
      </c>
      <c r="F21" s="9">
        <v>7500000</v>
      </c>
      <c r="G21" s="3"/>
      <c r="I21" s="3"/>
      <c r="J21" s="3"/>
      <c r="K21" s="3"/>
      <c r="L21" s="3"/>
      <c r="M21" s="3"/>
      <c r="N21" s="3"/>
      <c r="O21" s="3"/>
      <c r="P21" s="3"/>
    </row>
    <row r="22" spans="1:16" x14ac:dyDescent="0.3">
      <c r="D22" t="s">
        <v>31</v>
      </c>
      <c r="E22" s="3" t="s">
        <v>26</v>
      </c>
      <c r="F22" s="9">
        <v>9000000</v>
      </c>
      <c r="G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D23" t="s">
        <v>31</v>
      </c>
      <c r="E23" s="3" t="s">
        <v>27</v>
      </c>
      <c r="F23" s="9">
        <v>11500000</v>
      </c>
      <c r="G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D24" t="s">
        <v>31</v>
      </c>
      <c r="E24" s="3" t="s">
        <v>28</v>
      </c>
      <c r="F24" s="9">
        <v>15000000</v>
      </c>
      <c r="G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D25" t="s">
        <v>32</v>
      </c>
      <c r="E25" s="3" t="s">
        <v>24</v>
      </c>
      <c r="F25" s="9">
        <v>5300000</v>
      </c>
      <c r="G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D26" t="s">
        <v>32</v>
      </c>
      <c r="E26" s="3" t="s">
        <v>25</v>
      </c>
      <c r="F26" s="9">
        <v>6400000</v>
      </c>
      <c r="G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D27" t="s">
        <v>32</v>
      </c>
      <c r="E27" s="3" t="s">
        <v>26</v>
      </c>
      <c r="F27" s="9">
        <v>7800000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">
      <c r="D28" t="s">
        <v>32</v>
      </c>
      <c r="E28" s="3" t="s">
        <v>27</v>
      </c>
      <c r="F28" s="9">
        <v>9800000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D29" t="s">
        <v>32</v>
      </c>
      <c r="E29" s="3" t="s">
        <v>28</v>
      </c>
      <c r="F29" s="9">
        <v>13000000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D30" t="s">
        <v>33</v>
      </c>
      <c r="E30" t="s">
        <v>24</v>
      </c>
      <c r="F30" s="8">
        <v>5000000</v>
      </c>
    </row>
    <row r="31" spans="1:16" x14ac:dyDescent="0.3">
      <c r="D31" t="s">
        <v>33</v>
      </c>
      <c r="E31" t="s">
        <v>25</v>
      </c>
      <c r="F31" s="8">
        <v>6000000</v>
      </c>
    </row>
    <row r="32" spans="1:16" x14ac:dyDescent="0.3">
      <c r="D32" t="s">
        <v>33</v>
      </c>
      <c r="E32" t="s">
        <v>26</v>
      </c>
      <c r="F32" s="8">
        <v>7500000</v>
      </c>
    </row>
    <row r="33" spans="4:6" x14ac:dyDescent="0.3">
      <c r="D33" t="s">
        <v>33</v>
      </c>
      <c r="E33" t="s">
        <v>27</v>
      </c>
      <c r="F33" s="8">
        <v>9500000</v>
      </c>
    </row>
    <row r="34" spans="4:6" x14ac:dyDescent="0.3">
      <c r="D34" t="s">
        <v>33</v>
      </c>
      <c r="E34" t="s">
        <v>28</v>
      </c>
      <c r="F34" s="8">
        <v>13000000</v>
      </c>
    </row>
    <row r="35" spans="4:6" x14ac:dyDescent="0.3">
      <c r="D35" t="s">
        <v>34</v>
      </c>
      <c r="E35" t="s">
        <v>24</v>
      </c>
      <c r="F35" s="8">
        <v>5200000</v>
      </c>
    </row>
    <row r="36" spans="4:6" x14ac:dyDescent="0.3">
      <c r="D36" t="s">
        <v>34</v>
      </c>
      <c r="E36" t="s">
        <v>25</v>
      </c>
      <c r="F36" s="8">
        <v>6300000</v>
      </c>
    </row>
    <row r="37" spans="4:6" x14ac:dyDescent="0.3">
      <c r="D37" t="s">
        <v>34</v>
      </c>
      <c r="E37" t="s">
        <v>26</v>
      </c>
      <c r="F37" s="8">
        <v>7700000</v>
      </c>
    </row>
    <row r="38" spans="4:6" x14ac:dyDescent="0.3">
      <c r="D38" t="s">
        <v>34</v>
      </c>
      <c r="E38" t="s">
        <v>27</v>
      </c>
      <c r="F38" s="8">
        <v>9700000</v>
      </c>
    </row>
    <row r="39" spans="4:6" x14ac:dyDescent="0.3">
      <c r="D39" t="s">
        <v>34</v>
      </c>
      <c r="E39" t="s">
        <v>28</v>
      </c>
      <c r="F39" s="8">
        <v>13000000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2E09-5DC4-4176-8146-8FC4A42266F0}">
  <dimension ref="A1:B11"/>
  <sheetViews>
    <sheetView workbookViewId="0">
      <selection activeCell="J22" sqref="J22"/>
    </sheetView>
  </sheetViews>
  <sheetFormatPr defaultRowHeight="14.4" x14ac:dyDescent="0.3"/>
  <cols>
    <col min="1" max="1" width="18.88671875" bestFit="1" customWidth="1"/>
    <col min="2" max="2" width="16.6640625" bestFit="1" customWidth="1"/>
  </cols>
  <sheetData>
    <row r="1" spans="1:2" x14ac:dyDescent="0.3">
      <c r="A1" t="s">
        <v>6</v>
      </c>
      <c r="B1" t="s">
        <v>11</v>
      </c>
    </row>
    <row r="2" spans="1:2" x14ac:dyDescent="0.3">
      <c r="A2" t="s">
        <v>12</v>
      </c>
    </row>
    <row r="3" spans="1:2" x14ac:dyDescent="0.3">
      <c r="A3" t="s">
        <v>14</v>
      </c>
      <c r="B3" s="2">
        <v>3.6999999999999998E-2</v>
      </c>
    </row>
    <row r="4" spans="1:2" x14ac:dyDescent="0.3">
      <c r="A4" t="s">
        <v>15</v>
      </c>
      <c r="B4" s="1">
        <v>0.02</v>
      </c>
    </row>
    <row r="5" spans="1:2" x14ac:dyDescent="0.3">
      <c r="A5" t="s">
        <v>13</v>
      </c>
    </row>
    <row r="6" spans="1:2" x14ac:dyDescent="0.3">
      <c r="A6" t="s">
        <v>14</v>
      </c>
      <c r="B6" s="1">
        <v>0.04</v>
      </c>
    </row>
    <row r="7" spans="1:2" x14ac:dyDescent="0.3">
      <c r="A7" t="s">
        <v>15</v>
      </c>
      <c r="B7" s="1">
        <v>0.01</v>
      </c>
    </row>
    <row r="8" spans="1:2" x14ac:dyDescent="0.3">
      <c r="A8" t="s">
        <v>7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Slip Gaji</vt:lpstr>
      <vt:lpstr>Data Gaji Pegawai</vt:lpstr>
      <vt:lpstr>Tabel Acuan</vt:lpstr>
      <vt:lpstr>Ketentuan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arfinadhifa3</dc:creator>
  <cp:lastModifiedBy>arfinadhifa3</cp:lastModifiedBy>
  <dcterms:created xsi:type="dcterms:W3CDTF">2026-07-01T09:23:06Z</dcterms:created>
  <dcterms:modified xsi:type="dcterms:W3CDTF">2026-07-02T04:20:18Z</dcterms:modified>
</cp:coreProperties>
</file>